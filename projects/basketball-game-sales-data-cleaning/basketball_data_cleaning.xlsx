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ashr\Downloads\"/>
    </mc:Choice>
  </mc:AlternateContent>
  <xr:revisionPtr revIDLastSave="0" documentId="8_{C4D427DA-03A9-4589-8333-D91AED503857}" xr6:coauthVersionLast="47" xr6:coauthVersionMax="47" xr10:uidLastSave="{00000000-0000-0000-0000-000000000000}"/>
  <bookViews>
    <workbookView xWindow="-98" yWindow="-98" windowWidth="20715" windowHeight="13875" tabRatio="726" activeTab="6" xr2:uid="{00000000-000D-0000-FFFF-FFFF00000000}"/>
  </bookViews>
  <sheets>
    <sheet name="Basketball Game Sales" sheetId="1" r:id="rId1"/>
    <sheet name="Calories" sheetId="3" r:id="rId2"/>
    <sheet name="Pivot" sheetId="9" r:id="rId3"/>
    <sheet name="Fee Schedule" sheetId="4" r:id="rId4"/>
    <sheet name="Revenue By Item" sheetId="6" r:id="rId5"/>
    <sheet name="Calories-Solver" sheetId="10" r:id="rId6"/>
    <sheet name="Data Cleaning Notes" sheetId="12" r:id="rId7"/>
  </sheets>
  <definedNames>
    <definedName name="_xlnm._FilterDatabase" localSheetId="0" hidden="1">'Basketball Game Sales'!$A$1:$F$15</definedName>
    <definedName name="solver_adj" localSheetId="5" hidden="1">'Calories-Solver'!$C$2:$C$15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itr" localSheetId="5" hidden="1">2147483647</definedName>
    <definedName name="solver_lhs1" localSheetId="5" hidden="1">'Calories-Solver'!$C$17</definedName>
    <definedName name="solver_lhs2" localSheetId="5" hidden="1">'Calories-Solver'!$C$2:$C$15</definedName>
    <definedName name="solver_lin" localSheetId="5" hidden="1">1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opt" localSheetId="5" hidden="1">'Calories-Solver'!$C$16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el2" localSheetId="5" hidden="1">4</definedName>
    <definedName name="solver_rhs1" localSheetId="5" hidden="1">2400</definedName>
    <definedName name="solver_rhs2" localSheetId="5" hidden="1">integer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2</definedName>
  </definedNames>
  <calcPr calcId="181029" concurrentCalc="0"/>
  <pivotCaches>
    <pivotCache cacheId="0" r:id="rId8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8" i="3" l="1"/>
  <c r="C17" i="10"/>
  <c r="C16" i="10"/>
  <c r="B20" i="3"/>
  <c r="B19" i="3"/>
  <c r="B21" i="3"/>
  <c r="D2" i="6" a="1"/>
  <c r="D2" i="6"/>
</calcChain>
</file>

<file path=xl/sharedStrings.xml><?xml version="1.0" encoding="utf-8"?>
<sst xmlns="http://schemas.openxmlformats.org/spreadsheetml/2006/main" count="213" uniqueCount="91">
  <si>
    <t>Item</t>
  </si>
  <si>
    <t>Category</t>
  </si>
  <si>
    <t>Price</t>
  </si>
  <si>
    <t>Profit</t>
  </si>
  <si>
    <t>Actual Profit</t>
  </si>
  <si>
    <t>Calories</t>
  </si>
  <si>
    <t>Beer</t>
  </si>
  <si>
    <t>Beverages</t>
  </si>
  <si>
    <t>Hamburger</t>
  </si>
  <si>
    <t>Hot Food</t>
  </si>
  <si>
    <t>Popcorn</t>
  </si>
  <si>
    <t>Pizza</t>
  </si>
  <si>
    <t>Bottled Water</t>
  </si>
  <si>
    <t>Hot Dog</t>
  </si>
  <si>
    <t>Chocolate Dipped Cone</t>
  </si>
  <si>
    <t>Frozen Treats</t>
  </si>
  <si>
    <t>Soda</t>
  </si>
  <si>
    <t>Chocolate Bar</t>
  </si>
  <si>
    <t>Candy</t>
  </si>
  <si>
    <t>Licorice Rope</t>
  </si>
  <si>
    <t>Nachos</t>
  </si>
  <si>
    <t>Gummy Bears</t>
  </si>
  <si>
    <t>Ice Cream Sandwich</t>
  </si>
  <si>
    <t>Popsicle</t>
  </si>
  <si>
    <t>Match</t>
  </si>
  <si>
    <t>Index</t>
  </si>
  <si>
    <t>Offset</t>
  </si>
  <si>
    <t>Small</t>
  </si>
  <si>
    <t>Sum of Price</t>
  </si>
  <si>
    <t>Row Labels</t>
  </si>
  <si>
    <t>Total</t>
  </si>
  <si>
    <t>Grand Total</t>
  </si>
  <si>
    <t>Percent</t>
  </si>
  <si>
    <t>Total Cut for Coach:</t>
  </si>
  <si>
    <t>How many?</t>
  </si>
  <si>
    <t>Total Items:</t>
  </si>
  <si>
    <t>Total Calories:</t>
  </si>
  <si>
    <r>
      <t>Dataset:</t>
    </r>
    <r>
      <rPr>
        <sz val="12"/>
        <color theme="1"/>
        <rFont val="Calibri"/>
        <family val="2"/>
        <scheme val="minor"/>
      </rPr>
      <t xml:space="preserve"> Basketball Game Sales</t>
    </r>
  </si>
  <si>
    <t>Steps Taken:</t>
  </si>
  <si>
    <r>
      <t xml:space="preserve">Found and removed duplicate rows using </t>
    </r>
    <r>
      <rPr>
        <i/>
        <sz val="12"/>
        <color theme="1"/>
        <rFont val="Calibri"/>
        <family val="2"/>
        <scheme val="minor"/>
      </rPr>
      <t>Data → Remove Duplicates</t>
    </r>
    <r>
      <rPr>
        <sz val="12"/>
        <color theme="1"/>
        <rFont val="Calibri"/>
        <family val="2"/>
        <scheme val="minor"/>
      </rPr>
      <t>.</t>
    </r>
  </si>
  <si>
    <r>
      <t xml:space="preserve">A total of </t>
    </r>
    <r>
      <rPr>
        <b/>
        <sz val="12"/>
        <color theme="1"/>
        <rFont val="Calibri"/>
        <family val="2"/>
        <scheme val="minor"/>
      </rPr>
      <t>185 duplicates</t>
    </r>
    <r>
      <rPr>
        <sz val="12"/>
        <color theme="1"/>
        <rFont val="Calibri"/>
        <family val="2"/>
        <scheme val="minor"/>
      </rPr>
      <t xml:space="preserve"> were removed.</t>
    </r>
  </si>
  <si>
    <t>Checked for missing values across all columns. None were found.</t>
  </si>
  <si>
    <t>Ensured consistent formatting for text fields (trimmed extra spaces).</t>
  </si>
  <si>
    <t>Used descriptive statistics and charts to detect unusual values.</t>
  </si>
  <si>
    <r>
      <t xml:space="preserve">Cross-checked that </t>
    </r>
    <r>
      <rPr>
        <b/>
        <sz val="12"/>
        <color theme="1"/>
        <rFont val="Calibri"/>
        <family val="2"/>
        <scheme val="minor"/>
      </rPr>
      <t>Actual Profit</t>
    </r>
    <r>
      <rPr>
        <sz val="12"/>
        <color theme="1"/>
        <rFont val="Calibri"/>
        <family val="2"/>
        <scheme val="minor"/>
      </rPr>
      <t xml:space="preserve"> values align with expected calculations (Price × Profit).</t>
    </r>
  </si>
  <si>
    <r>
      <t xml:space="preserve">Validated that </t>
    </r>
    <r>
      <rPr>
        <b/>
        <sz val="12"/>
        <color theme="1"/>
        <rFont val="Calibri"/>
        <family val="2"/>
        <scheme val="minor"/>
      </rPr>
      <t>Category</t>
    </r>
    <r>
      <rPr>
        <sz val="12"/>
        <color theme="1"/>
        <rFont val="Calibri"/>
        <family val="2"/>
        <scheme val="minor"/>
      </rPr>
      <t xml:space="preserve"> names are limited to: </t>
    </r>
    <r>
      <rPr>
        <i/>
        <sz val="12"/>
        <color theme="1"/>
        <rFont val="Calibri"/>
        <family val="2"/>
        <scheme val="minor"/>
      </rPr>
      <t>Hot Food, Beverages, Snacks, Candy</t>
    </r>
    <r>
      <rPr>
        <sz val="12"/>
        <color theme="1"/>
        <rFont val="Calibri"/>
        <family val="2"/>
        <scheme val="minor"/>
      </rPr>
      <t>.</t>
    </r>
  </si>
  <si>
    <t>Applied Data Validation to prevent inconsistent future entries.</t>
  </si>
  <si>
    <t xml:space="preserve">Returns TRUE if the row is a duplicate. </t>
  </si>
  <si>
    <t xml:space="preserve"> Duplicate Data</t>
  </si>
  <si>
    <t xml:space="preserve"> Missing or Inconsistent Data</t>
  </si>
  <si>
    <t>Outliers and Incorrect Data</t>
  </si>
  <si>
    <t>Data Accuracy</t>
  </si>
  <si>
    <t>If “Profit” represents a percentage margin of Price,</t>
  </si>
  <si>
    <t>(Where C2 = Price and D2 = Profit).</t>
  </si>
  <si>
    <t>Formula =C2*D2</t>
  </si>
  <si>
    <t>Verified that numeric values (Price, Profit, Actual Profit) were within expected ranges by below method.</t>
  </si>
  <si>
    <t>Compared this with the “Actual Profit” column.</t>
  </si>
  <si>
    <t>e.g. Formula =TRIM(A2)</t>
  </si>
  <si>
    <t>To find the Duplicates in Basketball Game Sales sheet. Use formula :
=COUNTIFS($A$2:$A$200,A2,$B$2:$B$200,B2,$C$2:$C$200,C2)&gt;1</t>
  </si>
  <si>
    <t>Fee %</t>
  </si>
  <si>
    <t>Issues Found:</t>
  </si>
  <si>
    <t>Data is horizontal (harder to use for lookups).</t>
  </si>
  <si>
    <t>If new items are added, must manually extend the Fee Schedule.</t>
  </si>
  <si>
    <r>
      <rPr>
        <b/>
        <sz val="12"/>
        <color theme="1"/>
        <rFont val="Calibri"/>
        <family val="2"/>
        <scheme val="minor"/>
      </rPr>
      <t>Dataset:</t>
    </r>
    <r>
      <rPr>
        <sz val="12"/>
        <color theme="1"/>
        <rFont val="Calibri"/>
        <family val="2"/>
        <scheme val="minor"/>
      </rPr>
      <t xml:space="preserve"> Fee Schedule </t>
    </r>
  </si>
  <si>
    <t>Calories are listed, but we can make it more useful by adding Category (Snacks, Beverages, Hot Food, Candy).</t>
  </si>
  <si>
    <t xml:space="preserve">That would allow calorie analysis by food type. So added Category as new colomn in this sheet. </t>
  </si>
  <si>
    <r>
      <rPr>
        <b/>
        <sz val="12"/>
        <color theme="1"/>
        <rFont val="Calibri"/>
        <family val="2"/>
        <scheme val="minor"/>
      </rPr>
      <t>Dataset</t>
    </r>
    <r>
      <rPr>
        <sz val="12"/>
        <color theme="1"/>
        <rFont val="Calibri"/>
        <family val="2"/>
        <scheme val="minor"/>
      </rPr>
      <t xml:space="preserve"> : Calories</t>
    </r>
  </si>
  <si>
    <t>Go to Insert → PivotTable using “Basketball Game Sales.”</t>
  </si>
  <si>
    <t>Examples:</t>
  </si>
  <si>
    <t>Total Revenue by Category: Drag Category to Rows and Actual Profit to Values.</t>
  </si>
  <si>
    <t>Calories by Category: Drag Category to Rows and Calories to Values (choose AVERAGE).</t>
  </si>
  <si>
    <t>Pivot Tables will help you see trends (e.g., which category is most profitable).</t>
  </si>
  <si>
    <t>Some values missing under “Total Cut for Coach.”</t>
  </si>
  <si>
    <t>Fix: Link to Fee Schedule.</t>
  </si>
  <si>
    <t>Example: If Beer revenue is 80 and Fee% is 15%, then:</t>
  </si>
  <si>
    <t>PivotTable: Summarize Total Cut for Coach by Category.</t>
  </si>
  <si>
    <t>Currently shows Items, Calories, and “How many?” (all zeros).</t>
  </si>
  <si>
    <t>Usefulness: Can be turned into a Solver optimization problem (e.g., “maximize profit under calorie limit”).</t>
  </si>
  <si>
    <t>Formula: Lookup Calories automatically from Calories sheet (instead of typing).</t>
  </si>
  <si>
    <t>*</t>
  </si>
  <si>
    <t>formula=INDEX(Calories!B:B, MATCH(A2,Calories!A:A,0))</t>
  </si>
  <si>
    <t>Some items from sales (like Nachos, Soda, Hot Dog) are present, but checked alignment with Basketball Game Sales list.</t>
  </si>
  <si>
    <t xml:space="preserve">Analysis Readiness: </t>
  </si>
  <si>
    <r>
      <rPr>
        <b/>
        <sz val="12"/>
        <color theme="1"/>
        <rFont val="Calibri"/>
        <family val="2"/>
        <scheme val="minor"/>
      </rPr>
      <t>Dataset</t>
    </r>
    <r>
      <rPr>
        <sz val="12"/>
        <color theme="1"/>
        <rFont val="Calibri"/>
        <family val="2"/>
        <scheme val="minor"/>
      </rPr>
      <t xml:space="preserve"> : Pivot Tables (Summarize Data)</t>
    </r>
  </si>
  <si>
    <r>
      <rPr>
        <b/>
        <sz val="12"/>
        <color theme="1"/>
        <rFont val="Calibri"/>
        <family val="2"/>
        <scheme val="minor"/>
      </rPr>
      <t>Dataset</t>
    </r>
    <r>
      <rPr>
        <sz val="12"/>
        <color theme="1"/>
        <rFont val="Calibri"/>
        <family val="2"/>
        <scheme val="minor"/>
      </rPr>
      <t xml:space="preserve"> : Revenue By Item </t>
    </r>
  </si>
  <si>
    <r>
      <rPr>
        <b/>
        <sz val="12"/>
        <color theme="1"/>
        <rFont val="Calibri"/>
        <family val="2"/>
        <scheme val="minor"/>
      </rPr>
      <t>Dataset:</t>
    </r>
    <r>
      <rPr>
        <sz val="12"/>
        <color theme="1"/>
        <rFont val="Calibri"/>
        <family val="2"/>
        <scheme val="minor"/>
      </rPr>
      <t xml:space="preserve"> Calories-Solver</t>
    </r>
  </si>
  <si>
    <t>formula=B2 * INDEX('Fee Schedule'!B2:O2, MATCH(A2,'Fee Schedule'!B1:O1,0))</t>
  </si>
  <si>
    <t>Formatted cells of column "Price " and "Total Profit" to remove extra space using TRIM function</t>
  </si>
  <si>
    <t>e.g. Formula =TRIM(C2)</t>
  </si>
  <si>
    <t>Analysis: A useful lookup table, but should be restructured vertically (Item in Column A, Fee % in Column B) for easier formulas and Pivot use. So added columns vertically.</t>
  </si>
  <si>
    <t>Top-Selling Items: Drag Item to Rows and Price or Profit to Values. Highlighted Beer as it is most profitable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</si>
</sst>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1" xfId="0" applyFont="1" applyBorder="1"/>
    <xf numFmtId="0" fontId="4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4" fillId="0" borderId="3" xfId="0" applyFont="1" applyBorder="1" applyAlignment="1">
      <alignment horizontal="center"/>
    </xf>
    <xf numFmtId="9" fontId="0" fillId="0" borderId="3" xfId="2" applyFont="1" applyBorder="1"/>
    <xf numFmtId="0" fontId="0" fillId="0" borderId="0" xfId="0" applyAlignment="1">
      <alignment horizontal="right"/>
    </xf>
    <xf numFmtId="1" fontId="4" fillId="0" borderId="1" xfId="0" applyNumberFormat="1" applyFont="1" applyBorder="1"/>
    <xf numFmtId="1" fontId="0" fillId="0" borderId="3" xfId="0" applyNumberFormat="1" applyBorder="1"/>
    <xf numFmtId="1" fontId="0" fillId="0" borderId="0" xfId="0" applyNumberFormat="1"/>
    <xf numFmtId="164" fontId="4" fillId="0" borderId="1" xfId="0" applyNumberFormat="1" applyFont="1" applyBorder="1"/>
    <xf numFmtId="164" fontId="0" fillId="0" borderId="0" xfId="1" applyNumberFormat="1" applyFont="1"/>
    <xf numFmtId="164" fontId="0" fillId="0" borderId="0" xfId="0" applyNumberFormat="1"/>
    <xf numFmtId="164" fontId="0" fillId="0" borderId="0" xfId="1" applyNumberFormat="1" applyFont="1" applyAlignment="1"/>
    <xf numFmtId="0" fontId="0" fillId="0" borderId="0" xfId="0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NumberFormat="1" applyFill="1"/>
    <xf numFmtId="0" fontId="0" fillId="3" borderId="0" xfId="0" applyFill="1" applyAlignment="1">
      <alignment horizontal="left"/>
    </xf>
  </cellXfs>
  <cellStyles count="43">
    <cellStyle name="Currency" xfId="1" builtinId="4"/>
    <cellStyle name="Followed Hyperlink" xfId="14" builtinId="9" hidden="1"/>
    <cellStyle name="Followed Hyperlink" xfId="18" builtinId="9" hidden="1"/>
    <cellStyle name="Followed Hyperlink" xfId="20" builtinId="9" hidden="1"/>
    <cellStyle name="Followed Hyperlink" xfId="16" builtinId="9" hidden="1"/>
    <cellStyle name="Followed Hyperlink" xfId="8" builtinId="9" hidden="1"/>
    <cellStyle name="Followed Hyperlink" xfId="10" builtinId="9" hidden="1"/>
    <cellStyle name="Followed Hyperlink" xfId="4" builtinId="9" hidden="1"/>
    <cellStyle name="Followed Hyperlink" xfId="6" builtinId="9" hidden="1"/>
    <cellStyle name="Followed Hyperlink" xfId="22" builtinId="9" hidden="1"/>
    <cellStyle name="Followed Hyperlink" xfId="12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32" builtinId="9" hidden="1"/>
    <cellStyle name="Followed Hyperlink" xfId="24" builtinId="9" hidden="1"/>
    <cellStyle name="Followed Hyperlink" xfId="42" builtinId="9" hidden="1"/>
    <cellStyle name="Followed Hyperlink" xfId="30" builtinId="9" hidden="1"/>
    <cellStyle name="Followed Hyperlink" xfId="34" builtinId="9" hidden="1"/>
    <cellStyle name="Followed Hyperlink" xfId="28" builtinId="9" hidden="1"/>
    <cellStyle name="Followed Hyperlink" xfId="26" builtinId="9" hidden="1"/>
    <cellStyle name="Hyperlink" xfId="3" builtinId="8" hidden="1"/>
    <cellStyle name="Hyperlink" xfId="35" builtinId="8" hidden="1"/>
    <cellStyle name="Hyperlink" xfId="37" builtinId="8" hidden="1"/>
    <cellStyle name="Hyperlink" xfId="39" builtinId="8" hidden="1"/>
    <cellStyle name="Hyperlink" xfId="27" builtinId="8" hidden="1"/>
    <cellStyle name="Hyperlink" xfId="13" builtinId="8" hidden="1"/>
    <cellStyle name="Hyperlink" xfId="15" builtinId="8" hidden="1"/>
    <cellStyle name="Hyperlink" xfId="17" builtinId="8" hidden="1"/>
    <cellStyle name="Hyperlink" xfId="11" builtinId="8" hidden="1"/>
    <cellStyle name="Hyperlink" xfId="5" builtinId="8" hidden="1"/>
    <cellStyle name="Hyperlink" xfId="7" builtinId="8" hidden="1"/>
    <cellStyle name="Hyperlink" xfId="9" builtinId="8" hidden="1"/>
    <cellStyle name="Hyperlink" xfId="23" builtinId="8" hidden="1"/>
    <cellStyle name="Hyperlink" xfId="29" builtinId="8" hidden="1"/>
    <cellStyle name="Hyperlink" xfId="31" builtinId="8" hidden="1"/>
    <cellStyle name="Hyperlink" xfId="33" builtinId="8" hidden="1"/>
    <cellStyle name="Hyperlink" xfId="25" builtinId="8" hidden="1"/>
    <cellStyle name="Hyperlink" xfId="19" builtinId="8" hidden="1"/>
    <cellStyle name="Hyperlink" xfId="21" builtinId="8" hidden="1"/>
    <cellStyle name="Hyperlink" xfId="41" builtinId="8" hidden="1"/>
    <cellStyle name="Normal" xfId="0" builtinId="0"/>
    <cellStyle name="Percent" xfId="2" builtinId="5"/>
  </cellStyles>
  <dxfs count="3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Calories!$C$1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Calories!$A$2:$A$15</c:f>
              <c:strCache>
                <c:ptCount val="14"/>
                <c:pt idx="0">
                  <c:v>Beer</c:v>
                </c:pt>
                <c:pt idx="1">
                  <c:v>Bottled Water</c:v>
                </c:pt>
                <c:pt idx="2">
                  <c:v>Chocolate Bar</c:v>
                </c:pt>
                <c:pt idx="3">
                  <c:v>Chocolate Dipped Cone</c:v>
                </c:pt>
                <c:pt idx="4">
                  <c:v>Gummy Bears</c:v>
                </c:pt>
                <c:pt idx="5">
                  <c:v>Hamburger</c:v>
                </c:pt>
                <c:pt idx="6">
                  <c:v>Hot Dog</c:v>
                </c:pt>
                <c:pt idx="7">
                  <c:v>Ice Cream Sandwich</c:v>
                </c:pt>
                <c:pt idx="8">
                  <c:v>Licorice Rope</c:v>
                </c:pt>
                <c:pt idx="9">
                  <c:v>Nachos</c:v>
                </c:pt>
                <c:pt idx="10">
                  <c:v>Pizza</c:v>
                </c:pt>
                <c:pt idx="11">
                  <c:v>Popcorn</c:v>
                </c:pt>
                <c:pt idx="12">
                  <c:v>Popsicle</c:v>
                </c:pt>
                <c:pt idx="13">
                  <c:v>Soda</c:v>
                </c:pt>
              </c:strCache>
            </c:strRef>
          </c:cat>
          <c:val>
            <c:numRef>
              <c:f>Calories!$C$2:$C$15</c:f>
              <c:numCache>
                <c:formatCode>General</c:formatCode>
                <c:ptCount val="14"/>
                <c:pt idx="0">
                  <c:v>200</c:v>
                </c:pt>
                <c:pt idx="1">
                  <c:v>0</c:v>
                </c:pt>
                <c:pt idx="2">
                  <c:v>255</c:v>
                </c:pt>
                <c:pt idx="3">
                  <c:v>300</c:v>
                </c:pt>
                <c:pt idx="4">
                  <c:v>300</c:v>
                </c:pt>
                <c:pt idx="5">
                  <c:v>320</c:v>
                </c:pt>
                <c:pt idx="6">
                  <c:v>265</c:v>
                </c:pt>
                <c:pt idx="7">
                  <c:v>240</c:v>
                </c:pt>
                <c:pt idx="8">
                  <c:v>280</c:v>
                </c:pt>
                <c:pt idx="9">
                  <c:v>560</c:v>
                </c:pt>
                <c:pt idx="10">
                  <c:v>480</c:v>
                </c:pt>
                <c:pt idx="11">
                  <c:v>500</c:v>
                </c:pt>
                <c:pt idx="12">
                  <c:v>150</c:v>
                </c:pt>
                <c:pt idx="1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2-4E55-BFB2-C5E5BAE72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469304"/>
        <c:axId val="334471096"/>
      </c:barChart>
      <c:catAx>
        <c:axId val="334469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4471096"/>
        <c:crosses val="autoZero"/>
        <c:auto val="1"/>
        <c:lblAlgn val="ctr"/>
        <c:lblOffset val="100"/>
        <c:noMultiLvlLbl val="0"/>
      </c:catAx>
      <c:valAx>
        <c:axId val="334471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44693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[Mandora, Shivani - Module2_Concessions_final.xlsx]Pivot!PivotTable3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Pivot!$A$3:$A$31</c:f>
              <c:multiLvlStrCache>
                <c:ptCount val="14"/>
                <c:lvl>
                  <c:pt idx="0">
                    <c:v>Beverages</c:v>
                  </c:pt>
                  <c:pt idx="1">
                    <c:v>Beverages</c:v>
                  </c:pt>
                  <c:pt idx="2">
                    <c:v>Candy</c:v>
                  </c:pt>
                  <c:pt idx="3">
                    <c:v>Frozen Treats</c:v>
                  </c:pt>
                  <c:pt idx="4">
                    <c:v>Candy</c:v>
                  </c:pt>
                  <c:pt idx="5">
                    <c:v>Hot Food</c:v>
                  </c:pt>
                  <c:pt idx="6">
                    <c:v>Hot Food</c:v>
                  </c:pt>
                  <c:pt idx="7">
                    <c:v>Frozen Treats</c:v>
                  </c:pt>
                  <c:pt idx="8">
                    <c:v>Candy</c:v>
                  </c:pt>
                  <c:pt idx="9">
                    <c:v>Hot Food</c:v>
                  </c:pt>
                  <c:pt idx="10">
                    <c:v>Hot Food</c:v>
                  </c:pt>
                  <c:pt idx="11">
                    <c:v>Hot Food</c:v>
                  </c:pt>
                  <c:pt idx="12">
                    <c:v>Frozen Treats</c:v>
                  </c:pt>
                  <c:pt idx="13">
                    <c:v>Beverages</c:v>
                  </c:pt>
                </c:lvl>
                <c:lvl>
                  <c:pt idx="0">
                    <c:v>Beer</c:v>
                  </c:pt>
                  <c:pt idx="1">
                    <c:v>Bottled Water</c:v>
                  </c:pt>
                  <c:pt idx="2">
                    <c:v>Chocolate Bar</c:v>
                  </c:pt>
                  <c:pt idx="3">
                    <c:v>Chocolate Dipped Cone</c:v>
                  </c:pt>
                  <c:pt idx="4">
                    <c:v>Gummy Bears</c:v>
                  </c:pt>
                  <c:pt idx="5">
                    <c:v>Hamburger</c:v>
                  </c:pt>
                  <c:pt idx="6">
                    <c:v>Hot Dog</c:v>
                  </c:pt>
                  <c:pt idx="7">
                    <c:v>Ice Cream Sandwich</c:v>
                  </c:pt>
                  <c:pt idx="8">
                    <c:v>Licorice Rope</c:v>
                  </c:pt>
                  <c:pt idx="9">
                    <c:v>Nachos</c:v>
                  </c:pt>
                  <c:pt idx="10">
                    <c:v>Pizza</c:v>
                  </c:pt>
                  <c:pt idx="11">
                    <c:v>Popcorn</c:v>
                  </c:pt>
                  <c:pt idx="12">
                    <c:v>Popsicle</c:v>
                  </c:pt>
                  <c:pt idx="13">
                    <c:v>Soda</c:v>
                  </c:pt>
                </c:lvl>
              </c:multiLvlStrCache>
            </c:multiLvlStrRef>
          </c:cat>
          <c:val>
            <c:numRef>
              <c:f>Pivot!$B$3:$B$31</c:f>
              <c:numCache>
                <c:formatCode>General</c:formatCode>
                <c:ptCount val="14"/>
                <c:pt idx="0">
                  <c:v>80</c:v>
                </c:pt>
                <c:pt idx="1">
                  <c:v>39</c:v>
                </c:pt>
                <c:pt idx="2">
                  <c:v>26</c:v>
                </c:pt>
                <c:pt idx="3">
                  <c:v>33</c:v>
                </c:pt>
                <c:pt idx="4">
                  <c:v>28</c:v>
                </c:pt>
                <c:pt idx="5">
                  <c:v>48</c:v>
                </c:pt>
                <c:pt idx="6">
                  <c:v>22.5</c:v>
                </c:pt>
                <c:pt idx="7">
                  <c:v>30</c:v>
                </c:pt>
                <c:pt idx="8">
                  <c:v>26</c:v>
                </c:pt>
                <c:pt idx="9">
                  <c:v>45</c:v>
                </c:pt>
                <c:pt idx="10">
                  <c:v>34</c:v>
                </c:pt>
                <c:pt idx="11">
                  <c:v>80</c:v>
                </c:pt>
                <c:pt idx="12">
                  <c:v>39</c:v>
                </c:pt>
                <c:pt idx="13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5-45C7-8782-D311F591E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49944"/>
        <c:axId val="113250304"/>
      </c:barChart>
      <c:catAx>
        <c:axId val="113249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250304"/>
        <c:crosses val="autoZero"/>
        <c:auto val="1"/>
        <c:lblAlgn val="ctr"/>
        <c:lblOffset val="100"/>
        <c:noMultiLvlLbl val="0"/>
      </c:catAx>
      <c:valAx>
        <c:axId val="1132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87312</xdr:rowOff>
    </xdr:from>
    <xdr:to>
      <xdr:col>11</xdr:col>
      <xdr:colOff>604837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1</xdr:row>
      <xdr:rowOff>21431</xdr:rowOff>
    </xdr:from>
    <xdr:to>
      <xdr:col>9</xdr:col>
      <xdr:colOff>276225</xdr:colOff>
      <xdr:row>14</xdr:row>
      <xdr:rowOff>164306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1B24C-8766-C35B-8843-A9184ECDC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Foreman" refreshedDate="41304.551268750001" createdVersion="4" refreshedVersion="4" minRefreshableVersion="3" recordCount="199" xr:uid="{00000000-000A-0000-FFFF-FFFF04000000}">
  <cacheSource type="worksheet">
    <worksheetSource ref="A1:F200" sheet="Basketball Game Sales"/>
  </cacheSource>
  <cacheFields count="6">
    <cacheField name="Item" numFmtId="0">
      <sharedItems count="14">
        <s v="Beer"/>
        <s v="Hamburger"/>
        <s v="Popcorn"/>
        <s v="Pizza"/>
        <s v="Bottled Water"/>
        <s v="Hot Dog"/>
        <s v="Chocolate Dipped Cone"/>
        <s v="Soda"/>
        <s v="Chocolate Bar"/>
        <s v="Licorice Rope"/>
        <s v="Nachos"/>
        <s v="Gummy Bears"/>
        <s v="Ice Cream Sandwich"/>
        <s v="Popsicle"/>
      </sharedItems>
    </cacheField>
    <cacheField name="Category" numFmtId="0">
      <sharedItems count="4">
        <s v="Beverages"/>
        <s v="Hot Food"/>
        <s v="Frozen Treats"/>
        <s v="Candy"/>
      </sharedItems>
    </cacheField>
    <cacheField name="Price" numFmtId="44">
      <sharedItems containsSemiMixedTypes="0" containsString="0" containsNumber="1" minValue="1.5" maxValue="5"/>
    </cacheField>
    <cacheField name="Profit" numFmtId="9">
      <sharedItems containsSemiMixedTypes="0" containsString="0" containsNumber="1" minValue="0.25" maxValue="0.83333333333333337"/>
    </cacheField>
    <cacheField name="Actual Profit" numFmtId="44">
      <sharedItems containsSemiMixedTypes="0" containsString="0" containsNumber="1" minValue="0.5" maxValue="4"/>
    </cacheField>
    <cacheField name="Calories" numFmtId="0">
      <sharedItems containsSemiMixedTypes="0" containsString="0" containsNumber="1" containsInteger="1" minValue="0" maxValue="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n v="4"/>
    <n v="0.5"/>
    <n v="2"/>
    <n v="200"/>
  </r>
  <r>
    <x v="1"/>
    <x v="1"/>
    <n v="3"/>
    <n v="0.66666666666666663"/>
    <n v="2"/>
    <n v="320"/>
  </r>
  <r>
    <x v="2"/>
    <x v="1"/>
    <n v="5"/>
    <n v="0.8"/>
    <n v="4"/>
    <n v="500"/>
  </r>
  <r>
    <x v="3"/>
    <x v="1"/>
    <n v="2"/>
    <n v="0.25"/>
    <n v="0.5"/>
    <n v="480"/>
  </r>
  <r>
    <x v="4"/>
    <x v="0"/>
    <n v="3"/>
    <n v="0.83333333333333337"/>
    <n v="2.5"/>
    <n v="0"/>
  </r>
  <r>
    <x v="5"/>
    <x v="1"/>
    <n v="1.5"/>
    <n v="0.66666666666666663"/>
    <n v="1"/>
    <n v="265"/>
  </r>
  <r>
    <x v="6"/>
    <x v="2"/>
    <n v="3"/>
    <n v="0.5"/>
    <n v="1.5"/>
    <n v="300"/>
  </r>
  <r>
    <x v="7"/>
    <x v="0"/>
    <n v="2.5"/>
    <n v="0.8"/>
    <n v="2"/>
    <n v="120"/>
  </r>
  <r>
    <x v="8"/>
    <x v="3"/>
    <n v="2"/>
    <n v="0.75"/>
    <n v="1.5"/>
    <n v="255"/>
  </r>
  <r>
    <x v="1"/>
    <x v="1"/>
    <n v="3"/>
    <n v="0.66666666666666663"/>
    <n v="2"/>
    <n v="320"/>
  </r>
  <r>
    <x v="0"/>
    <x v="0"/>
    <n v="4"/>
    <n v="0.5"/>
    <n v="2"/>
    <n v="200"/>
  </r>
  <r>
    <x v="5"/>
    <x v="1"/>
    <n v="1.5"/>
    <n v="0.66666666666666663"/>
    <n v="1"/>
    <n v="265"/>
  </r>
  <r>
    <x v="9"/>
    <x v="3"/>
    <n v="2"/>
    <n v="0.5"/>
    <n v="1"/>
    <n v="280"/>
  </r>
  <r>
    <x v="6"/>
    <x v="2"/>
    <n v="3"/>
    <n v="0.5"/>
    <n v="1.5"/>
    <n v="300"/>
  </r>
  <r>
    <x v="10"/>
    <x v="1"/>
    <n v="3"/>
    <n v="0.5"/>
    <n v="1.5"/>
    <n v="560"/>
  </r>
  <r>
    <x v="3"/>
    <x v="1"/>
    <n v="2"/>
    <n v="0.25"/>
    <n v="0.5"/>
    <n v="480"/>
  </r>
  <r>
    <x v="0"/>
    <x v="0"/>
    <n v="4"/>
    <n v="0.5"/>
    <n v="2"/>
    <n v="200"/>
  </r>
  <r>
    <x v="7"/>
    <x v="0"/>
    <n v="2.5"/>
    <n v="0.8"/>
    <n v="2"/>
    <n v="120"/>
  </r>
  <r>
    <x v="0"/>
    <x v="0"/>
    <n v="4"/>
    <n v="0.5"/>
    <n v="2"/>
    <n v="200"/>
  </r>
  <r>
    <x v="1"/>
    <x v="1"/>
    <n v="3"/>
    <n v="0.66666666666666663"/>
    <n v="2"/>
    <n v="320"/>
  </r>
  <r>
    <x v="11"/>
    <x v="3"/>
    <n v="2"/>
    <n v="0.5"/>
    <n v="1"/>
    <n v="300"/>
  </r>
  <r>
    <x v="2"/>
    <x v="1"/>
    <n v="5"/>
    <n v="0.8"/>
    <n v="4"/>
    <n v="500"/>
  </r>
  <r>
    <x v="1"/>
    <x v="1"/>
    <n v="3"/>
    <n v="0.66666666666666663"/>
    <n v="2"/>
    <n v="320"/>
  </r>
  <r>
    <x v="10"/>
    <x v="1"/>
    <n v="3"/>
    <n v="0.5"/>
    <n v="1.5"/>
    <n v="560"/>
  </r>
  <r>
    <x v="10"/>
    <x v="1"/>
    <n v="3"/>
    <n v="0.5"/>
    <n v="1.5"/>
    <n v="560"/>
  </r>
  <r>
    <x v="6"/>
    <x v="2"/>
    <n v="3"/>
    <n v="0.5"/>
    <n v="1.5"/>
    <n v="300"/>
  </r>
  <r>
    <x v="8"/>
    <x v="3"/>
    <n v="2"/>
    <n v="0.75"/>
    <n v="1.5"/>
    <n v="255"/>
  </r>
  <r>
    <x v="1"/>
    <x v="1"/>
    <n v="3"/>
    <n v="0.66666666666666663"/>
    <n v="2"/>
    <n v="320"/>
  </r>
  <r>
    <x v="0"/>
    <x v="0"/>
    <n v="4"/>
    <n v="0.5"/>
    <n v="2"/>
    <n v="200"/>
  </r>
  <r>
    <x v="6"/>
    <x v="2"/>
    <n v="3"/>
    <n v="0.5"/>
    <n v="1.5"/>
    <n v="300"/>
  </r>
  <r>
    <x v="7"/>
    <x v="0"/>
    <n v="2.5"/>
    <n v="0.8"/>
    <n v="2"/>
    <n v="120"/>
  </r>
  <r>
    <x v="11"/>
    <x v="3"/>
    <n v="2"/>
    <n v="0.5"/>
    <n v="1"/>
    <n v="300"/>
  </r>
  <r>
    <x v="6"/>
    <x v="2"/>
    <n v="3"/>
    <n v="0.5"/>
    <n v="1.5"/>
    <n v="300"/>
  </r>
  <r>
    <x v="9"/>
    <x v="3"/>
    <n v="2"/>
    <n v="0.5"/>
    <n v="1"/>
    <n v="280"/>
  </r>
  <r>
    <x v="10"/>
    <x v="1"/>
    <n v="3"/>
    <n v="0.5"/>
    <n v="1.5"/>
    <n v="560"/>
  </r>
  <r>
    <x v="4"/>
    <x v="0"/>
    <n v="3"/>
    <n v="0.83333333333333337"/>
    <n v="2.5"/>
    <n v="0"/>
  </r>
  <r>
    <x v="4"/>
    <x v="0"/>
    <n v="3"/>
    <n v="0.83333333333333337"/>
    <n v="2.5"/>
    <n v="0"/>
  </r>
  <r>
    <x v="2"/>
    <x v="1"/>
    <n v="5"/>
    <n v="0.8"/>
    <n v="4"/>
    <n v="500"/>
  </r>
  <r>
    <x v="8"/>
    <x v="3"/>
    <n v="2"/>
    <n v="0.75"/>
    <n v="1.5"/>
    <n v="255"/>
  </r>
  <r>
    <x v="6"/>
    <x v="2"/>
    <n v="3"/>
    <n v="0.5"/>
    <n v="1.5"/>
    <n v="300"/>
  </r>
  <r>
    <x v="9"/>
    <x v="3"/>
    <n v="2"/>
    <n v="0.5"/>
    <n v="1"/>
    <n v="280"/>
  </r>
  <r>
    <x v="0"/>
    <x v="0"/>
    <n v="4"/>
    <n v="0.5"/>
    <n v="2"/>
    <n v="200"/>
  </r>
  <r>
    <x v="5"/>
    <x v="1"/>
    <n v="1.5"/>
    <n v="0.66666666666666663"/>
    <n v="1"/>
    <n v="265"/>
  </r>
  <r>
    <x v="8"/>
    <x v="3"/>
    <n v="2"/>
    <n v="0.75"/>
    <n v="1.5"/>
    <n v="255"/>
  </r>
  <r>
    <x v="3"/>
    <x v="1"/>
    <n v="2"/>
    <n v="0.25"/>
    <n v="0.5"/>
    <n v="480"/>
  </r>
  <r>
    <x v="1"/>
    <x v="1"/>
    <n v="3"/>
    <n v="0.66666666666666663"/>
    <n v="2"/>
    <n v="320"/>
  </r>
  <r>
    <x v="6"/>
    <x v="2"/>
    <n v="3"/>
    <n v="0.5"/>
    <n v="1.5"/>
    <n v="300"/>
  </r>
  <r>
    <x v="9"/>
    <x v="3"/>
    <n v="2"/>
    <n v="0.5"/>
    <n v="1"/>
    <n v="280"/>
  </r>
  <r>
    <x v="10"/>
    <x v="1"/>
    <n v="3"/>
    <n v="0.5"/>
    <n v="1.5"/>
    <n v="560"/>
  </r>
  <r>
    <x v="2"/>
    <x v="1"/>
    <n v="5"/>
    <n v="0.8"/>
    <n v="4"/>
    <n v="500"/>
  </r>
  <r>
    <x v="8"/>
    <x v="3"/>
    <n v="2"/>
    <n v="0.75"/>
    <n v="1.5"/>
    <n v="255"/>
  </r>
  <r>
    <x v="5"/>
    <x v="1"/>
    <n v="1.5"/>
    <n v="0.66666666666666663"/>
    <n v="1"/>
    <n v="265"/>
  </r>
  <r>
    <x v="2"/>
    <x v="1"/>
    <n v="5"/>
    <n v="0.8"/>
    <n v="4"/>
    <n v="500"/>
  </r>
  <r>
    <x v="0"/>
    <x v="0"/>
    <n v="4"/>
    <n v="0.5"/>
    <n v="2"/>
    <n v="200"/>
  </r>
  <r>
    <x v="6"/>
    <x v="2"/>
    <n v="3"/>
    <n v="0.5"/>
    <n v="1.5"/>
    <n v="300"/>
  </r>
  <r>
    <x v="11"/>
    <x v="3"/>
    <n v="2"/>
    <n v="0.5"/>
    <n v="1"/>
    <n v="300"/>
  </r>
  <r>
    <x v="9"/>
    <x v="3"/>
    <n v="2"/>
    <n v="0.5"/>
    <n v="1"/>
    <n v="280"/>
  </r>
  <r>
    <x v="0"/>
    <x v="0"/>
    <n v="4"/>
    <n v="0.5"/>
    <n v="2"/>
    <n v="200"/>
  </r>
  <r>
    <x v="9"/>
    <x v="3"/>
    <n v="2"/>
    <n v="0.5"/>
    <n v="1"/>
    <n v="280"/>
  </r>
  <r>
    <x v="0"/>
    <x v="0"/>
    <n v="4"/>
    <n v="0.5"/>
    <n v="2"/>
    <n v="200"/>
  </r>
  <r>
    <x v="7"/>
    <x v="0"/>
    <n v="2.5"/>
    <n v="0.8"/>
    <n v="2"/>
    <n v="120"/>
  </r>
  <r>
    <x v="5"/>
    <x v="1"/>
    <n v="1.5"/>
    <n v="0.66666666666666663"/>
    <n v="1"/>
    <n v="265"/>
  </r>
  <r>
    <x v="3"/>
    <x v="1"/>
    <n v="2"/>
    <n v="0.25"/>
    <n v="0.5"/>
    <n v="480"/>
  </r>
  <r>
    <x v="7"/>
    <x v="0"/>
    <n v="2.5"/>
    <n v="0.8"/>
    <n v="2"/>
    <n v="120"/>
  </r>
  <r>
    <x v="11"/>
    <x v="3"/>
    <n v="2"/>
    <n v="0.5"/>
    <n v="1"/>
    <n v="300"/>
  </r>
  <r>
    <x v="6"/>
    <x v="2"/>
    <n v="3"/>
    <n v="0.5"/>
    <n v="1.5"/>
    <n v="300"/>
  </r>
  <r>
    <x v="7"/>
    <x v="0"/>
    <n v="2.5"/>
    <n v="0.8"/>
    <n v="2"/>
    <n v="120"/>
  </r>
  <r>
    <x v="8"/>
    <x v="3"/>
    <n v="2"/>
    <n v="0.75"/>
    <n v="1.5"/>
    <n v="255"/>
  </r>
  <r>
    <x v="0"/>
    <x v="0"/>
    <n v="4"/>
    <n v="0.5"/>
    <n v="2"/>
    <n v="200"/>
  </r>
  <r>
    <x v="6"/>
    <x v="2"/>
    <n v="3"/>
    <n v="0.5"/>
    <n v="1.5"/>
    <n v="300"/>
  </r>
  <r>
    <x v="0"/>
    <x v="0"/>
    <n v="4"/>
    <n v="0.5"/>
    <n v="2"/>
    <n v="200"/>
  </r>
  <r>
    <x v="10"/>
    <x v="1"/>
    <n v="3"/>
    <n v="0.5"/>
    <n v="1.5"/>
    <n v="560"/>
  </r>
  <r>
    <x v="10"/>
    <x v="1"/>
    <n v="3"/>
    <n v="0.5"/>
    <n v="1.5"/>
    <n v="560"/>
  </r>
  <r>
    <x v="10"/>
    <x v="1"/>
    <n v="3"/>
    <n v="0.5"/>
    <n v="1.5"/>
    <n v="560"/>
  </r>
  <r>
    <x v="11"/>
    <x v="3"/>
    <n v="2"/>
    <n v="0.5"/>
    <n v="1"/>
    <n v="300"/>
  </r>
  <r>
    <x v="5"/>
    <x v="1"/>
    <n v="1.5"/>
    <n v="0.66666666666666663"/>
    <n v="1"/>
    <n v="265"/>
  </r>
  <r>
    <x v="3"/>
    <x v="1"/>
    <n v="2"/>
    <n v="0.25"/>
    <n v="0.5"/>
    <n v="480"/>
  </r>
  <r>
    <x v="4"/>
    <x v="0"/>
    <n v="3"/>
    <n v="0.83333333333333337"/>
    <n v="2.5"/>
    <n v="0"/>
  </r>
  <r>
    <x v="1"/>
    <x v="1"/>
    <n v="3"/>
    <n v="0.66666666666666663"/>
    <n v="2"/>
    <n v="320"/>
  </r>
  <r>
    <x v="6"/>
    <x v="2"/>
    <n v="3"/>
    <n v="0.5"/>
    <n v="1.5"/>
    <n v="300"/>
  </r>
  <r>
    <x v="2"/>
    <x v="1"/>
    <n v="5"/>
    <n v="0.8"/>
    <n v="4"/>
    <n v="500"/>
  </r>
  <r>
    <x v="5"/>
    <x v="1"/>
    <n v="1.5"/>
    <n v="0.66666666666666663"/>
    <n v="1"/>
    <n v="265"/>
  </r>
  <r>
    <x v="12"/>
    <x v="2"/>
    <n v="3"/>
    <n v="0.66666666666666663"/>
    <n v="2"/>
    <n v="240"/>
  </r>
  <r>
    <x v="8"/>
    <x v="3"/>
    <n v="2"/>
    <n v="0.75"/>
    <n v="1.5"/>
    <n v="255"/>
  </r>
  <r>
    <x v="9"/>
    <x v="3"/>
    <n v="2"/>
    <n v="0.5"/>
    <n v="1"/>
    <n v="280"/>
  </r>
  <r>
    <x v="0"/>
    <x v="0"/>
    <n v="4"/>
    <n v="0.5"/>
    <n v="2"/>
    <n v="200"/>
  </r>
  <r>
    <x v="5"/>
    <x v="1"/>
    <n v="1.5"/>
    <n v="0.66666666666666663"/>
    <n v="1"/>
    <n v="265"/>
  </r>
  <r>
    <x v="12"/>
    <x v="2"/>
    <n v="3"/>
    <n v="0.66666666666666663"/>
    <n v="2"/>
    <n v="240"/>
  </r>
  <r>
    <x v="5"/>
    <x v="1"/>
    <n v="1.5"/>
    <n v="0.66666666666666663"/>
    <n v="1"/>
    <n v="265"/>
  </r>
  <r>
    <x v="12"/>
    <x v="2"/>
    <n v="3"/>
    <n v="0.66666666666666663"/>
    <n v="2"/>
    <n v="240"/>
  </r>
  <r>
    <x v="7"/>
    <x v="0"/>
    <n v="2.5"/>
    <n v="0.8"/>
    <n v="2"/>
    <n v="120"/>
  </r>
  <r>
    <x v="8"/>
    <x v="3"/>
    <n v="2"/>
    <n v="0.75"/>
    <n v="1.5"/>
    <n v="255"/>
  </r>
  <r>
    <x v="11"/>
    <x v="3"/>
    <n v="2"/>
    <n v="0.5"/>
    <n v="1"/>
    <n v="300"/>
  </r>
  <r>
    <x v="3"/>
    <x v="1"/>
    <n v="2"/>
    <n v="0.25"/>
    <n v="0.5"/>
    <n v="480"/>
  </r>
  <r>
    <x v="5"/>
    <x v="1"/>
    <n v="1.5"/>
    <n v="0.66666666666666663"/>
    <n v="1"/>
    <n v="265"/>
  </r>
  <r>
    <x v="11"/>
    <x v="3"/>
    <n v="2"/>
    <n v="0.5"/>
    <n v="1"/>
    <n v="300"/>
  </r>
  <r>
    <x v="12"/>
    <x v="2"/>
    <n v="3"/>
    <n v="0.66666666666666663"/>
    <n v="2"/>
    <n v="240"/>
  </r>
  <r>
    <x v="9"/>
    <x v="3"/>
    <n v="2"/>
    <n v="0.5"/>
    <n v="1"/>
    <n v="280"/>
  </r>
  <r>
    <x v="0"/>
    <x v="0"/>
    <n v="4"/>
    <n v="0.5"/>
    <n v="2"/>
    <n v="200"/>
  </r>
  <r>
    <x v="1"/>
    <x v="1"/>
    <n v="3"/>
    <n v="0.66666666666666663"/>
    <n v="2"/>
    <n v="320"/>
  </r>
  <r>
    <x v="0"/>
    <x v="0"/>
    <n v="4"/>
    <n v="0.5"/>
    <n v="2"/>
    <n v="200"/>
  </r>
  <r>
    <x v="12"/>
    <x v="2"/>
    <n v="3"/>
    <n v="0.66666666666666663"/>
    <n v="2"/>
    <n v="240"/>
  </r>
  <r>
    <x v="11"/>
    <x v="3"/>
    <n v="2"/>
    <n v="0.5"/>
    <n v="1"/>
    <n v="300"/>
  </r>
  <r>
    <x v="1"/>
    <x v="1"/>
    <n v="3"/>
    <n v="0.66666666666666663"/>
    <n v="2"/>
    <n v="320"/>
  </r>
  <r>
    <x v="9"/>
    <x v="3"/>
    <n v="2"/>
    <n v="0.5"/>
    <n v="1"/>
    <n v="280"/>
  </r>
  <r>
    <x v="1"/>
    <x v="1"/>
    <n v="3"/>
    <n v="0.66666666666666663"/>
    <n v="2"/>
    <n v="320"/>
  </r>
  <r>
    <x v="7"/>
    <x v="0"/>
    <n v="2.5"/>
    <n v="0.8"/>
    <n v="2"/>
    <n v="120"/>
  </r>
  <r>
    <x v="4"/>
    <x v="0"/>
    <n v="3"/>
    <n v="0.83333333333333337"/>
    <n v="2.5"/>
    <n v="0"/>
  </r>
  <r>
    <x v="1"/>
    <x v="1"/>
    <n v="3"/>
    <n v="0.66666666666666663"/>
    <n v="2"/>
    <n v="320"/>
  </r>
  <r>
    <x v="12"/>
    <x v="2"/>
    <n v="3"/>
    <n v="0.66666666666666663"/>
    <n v="2"/>
    <n v="240"/>
  </r>
  <r>
    <x v="11"/>
    <x v="3"/>
    <n v="2"/>
    <n v="0.5"/>
    <n v="1"/>
    <n v="300"/>
  </r>
  <r>
    <x v="4"/>
    <x v="0"/>
    <n v="3"/>
    <n v="0.83333333333333337"/>
    <n v="2.5"/>
    <n v="0"/>
  </r>
  <r>
    <x v="5"/>
    <x v="1"/>
    <n v="1.5"/>
    <n v="0.66666666666666663"/>
    <n v="1"/>
    <n v="265"/>
  </r>
  <r>
    <x v="7"/>
    <x v="0"/>
    <n v="2.5"/>
    <n v="0.8"/>
    <n v="2"/>
    <n v="120"/>
  </r>
  <r>
    <x v="3"/>
    <x v="1"/>
    <n v="2"/>
    <n v="0.25"/>
    <n v="0.5"/>
    <n v="480"/>
  </r>
  <r>
    <x v="2"/>
    <x v="1"/>
    <n v="5"/>
    <n v="0.8"/>
    <n v="4"/>
    <n v="500"/>
  </r>
  <r>
    <x v="2"/>
    <x v="1"/>
    <n v="5"/>
    <n v="0.8"/>
    <n v="4"/>
    <n v="500"/>
  </r>
  <r>
    <x v="12"/>
    <x v="2"/>
    <n v="3"/>
    <n v="0.66666666666666663"/>
    <n v="2"/>
    <n v="240"/>
  </r>
  <r>
    <x v="2"/>
    <x v="1"/>
    <n v="5"/>
    <n v="0.8"/>
    <n v="4"/>
    <n v="500"/>
  </r>
  <r>
    <x v="4"/>
    <x v="0"/>
    <n v="3"/>
    <n v="0.83333333333333337"/>
    <n v="2.5"/>
    <n v="0"/>
  </r>
  <r>
    <x v="9"/>
    <x v="3"/>
    <n v="2"/>
    <n v="0.5"/>
    <n v="1"/>
    <n v="280"/>
  </r>
  <r>
    <x v="4"/>
    <x v="0"/>
    <n v="3"/>
    <n v="0.83333333333333337"/>
    <n v="2.5"/>
    <n v="0"/>
  </r>
  <r>
    <x v="12"/>
    <x v="2"/>
    <n v="3"/>
    <n v="0.66666666666666663"/>
    <n v="2"/>
    <n v="240"/>
  </r>
  <r>
    <x v="3"/>
    <x v="1"/>
    <n v="2"/>
    <n v="0.25"/>
    <n v="0.5"/>
    <n v="480"/>
  </r>
  <r>
    <x v="3"/>
    <x v="1"/>
    <n v="2"/>
    <n v="0.25"/>
    <n v="0.5"/>
    <n v="480"/>
  </r>
  <r>
    <x v="12"/>
    <x v="2"/>
    <n v="3"/>
    <n v="0.66666666666666663"/>
    <n v="2"/>
    <n v="240"/>
  </r>
  <r>
    <x v="3"/>
    <x v="1"/>
    <n v="2"/>
    <n v="0.25"/>
    <n v="0.5"/>
    <n v="480"/>
  </r>
  <r>
    <x v="11"/>
    <x v="3"/>
    <n v="2"/>
    <n v="0.5"/>
    <n v="1"/>
    <n v="300"/>
  </r>
  <r>
    <x v="8"/>
    <x v="3"/>
    <n v="2"/>
    <n v="0.75"/>
    <n v="1.5"/>
    <n v="255"/>
  </r>
  <r>
    <x v="0"/>
    <x v="0"/>
    <n v="4"/>
    <n v="0.5"/>
    <n v="2"/>
    <n v="200"/>
  </r>
  <r>
    <x v="12"/>
    <x v="2"/>
    <n v="3"/>
    <n v="0.66666666666666663"/>
    <n v="2"/>
    <n v="240"/>
  </r>
  <r>
    <x v="10"/>
    <x v="1"/>
    <n v="3"/>
    <n v="0.5"/>
    <n v="1.5"/>
    <n v="560"/>
  </r>
  <r>
    <x v="4"/>
    <x v="0"/>
    <n v="3"/>
    <n v="0.83333333333333337"/>
    <n v="2.5"/>
    <n v="0"/>
  </r>
  <r>
    <x v="0"/>
    <x v="0"/>
    <n v="4"/>
    <n v="0.5"/>
    <n v="2"/>
    <n v="200"/>
  </r>
  <r>
    <x v="1"/>
    <x v="1"/>
    <n v="3"/>
    <n v="0.66666666666666663"/>
    <n v="2"/>
    <n v="320"/>
  </r>
  <r>
    <x v="8"/>
    <x v="3"/>
    <n v="2"/>
    <n v="0.75"/>
    <n v="1.5"/>
    <n v="255"/>
  </r>
  <r>
    <x v="2"/>
    <x v="1"/>
    <n v="5"/>
    <n v="0.8"/>
    <n v="4"/>
    <n v="500"/>
  </r>
  <r>
    <x v="1"/>
    <x v="1"/>
    <n v="3"/>
    <n v="0.66666666666666663"/>
    <n v="2"/>
    <n v="320"/>
  </r>
  <r>
    <x v="7"/>
    <x v="0"/>
    <n v="2.5"/>
    <n v="0.8"/>
    <n v="2"/>
    <n v="120"/>
  </r>
  <r>
    <x v="3"/>
    <x v="1"/>
    <n v="2"/>
    <n v="0.25"/>
    <n v="0.5"/>
    <n v="480"/>
  </r>
  <r>
    <x v="5"/>
    <x v="1"/>
    <n v="1.5"/>
    <n v="0.66666666666666663"/>
    <n v="1"/>
    <n v="265"/>
  </r>
  <r>
    <x v="5"/>
    <x v="1"/>
    <n v="1.5"/>
    <n v="0.66666666666666663"/>
    <n v="1"/>
    <n v="265"/>
  </r>
  <r>
    <x v="10"/>
    <x v="1"/>
    <n v="3"/>
    <n v="0.5"/>
    <n v="1.5"/>
    <n v="560"/>
  </r>
  <r>
    <x v="1"/>
    <x v="1"/>
    <n v="3"/>
    <n v="0.66666666666666663"/>
    <n v="2"/>
    <n v="320"/>
  </r>
  <r>
    <x v="10"/>
    <x v="1"/>
    <n v="3"/>
    <n v="0.5"/>
    <n v="1.5"/>
    <n v="560"/>
  </r>
  <r>
    <x v="1"/>
    <x v="1"/>
    <n v="3"/>
    <n v="0.66666666666666663"/>
    <n v="2"/>
    <n v="320"/>
  </r>
  <r>
    <x v="5"/>
    <x v="1"/>
    <n v="1.5"/>
    <n v="0.66666666666666663"/>
    <n v="1"/>
    <n v="265"/>
  </r>
  <r>
    <x v="10"/>
    <x v="1"/>
    <n v="3"/>
    <n v="0.5"/>
    <n v="1.5"/>
    <n v="560"/>
  </r>
  <r>
    <x v="13"/>
    <x v="2"/>
    <n v="3"/>
    <n v="0.83333333333333337"/>
    <n v="2.5"/>
    <n v="150"/>
  </r>
  <r>
    <x v="2"/>
    <x v="1"/>
    <n v="5"/>
    <n v="0.8"/>
    <n v="4"/>
    <n v="500"/>
  </r>
  <r>
    <x v="2"/>
    <x v="1"/>
    <n v="5"/>
    <n v="0.8"/>
    <n v="4"/>
    <n v="500"/>
  </r>
  <r>
    <x v="4"/>
    <x v="0"/>
    <n v="3"/>
    <n v="0.83333333333333337"/>
    <n v="2.5"/>
    <n v="0"/>
  </r>
  <r>
    <x v="1"/>
    <x v="1"/>
    <n v="3"/>
    <n v="0.66666666666666663"/>
    <n v="2"/>
    <n v="320"/>
  </r>
  <r>
    <x v="3"/>
    <x v="1"/>
    <n v="2"/>
    <n v="0.25"/>
    <n v="0.5"/>
    <n v="480"/>
  </r>
  <r>
    <x v="13"/>
    <x v="2"/>
    <n v="3"/>
    <n v="0.83333333333333337"/>
    <n v="2.5"/>
    <n v="150"/>
  </r>
  <r>
    <x v="3"/>
    <x v="1"/>
    <n v="2"/>
    <n v="0.25"/>
    <n v="0.5"/>
    <n v="480"/>
  </r>
  <r>
    <x v="2"/>
    <x v="1"/>
    <n v="5"/>
    <n v="0.8"/>
    <n v="4"/>
    <n v="500"/>
  </r>
  <r>
    <x v="7"/>
    <x v="0"/>
    <n v="2.5"/>
    <n v="0.8"/>
    <n v="2"/>
    <n v="120"/>
  </r>
  <r>
    <x v="10"/>
    <x v="1"/>
    <n v="3"/>
    <n v="0.5"/>
    <n v="1.5"/>
    <n v="560"/>
  </r>
  <r>
    <x v="11"/>
    <x v="3"/>
    <n v="2"/>
    <n v="0.5"/>
    <n v="1"/>
    <n v="300"/>
  </r>
  <r>
    <x v="10"/>
    <x v="1"/>
    <n v="3"/>
    <n v="0.5"/>
    <n v="1.5"/>
    <n v="560"/>
  </r>
  <r>
    <x v="9"/>
    <x v="3"/>
    <n v="2"/>
    <n v="0.5"/>
    <n v="1"/>
    <n v="280"/>
  </r>
  <r>
    <x v="13"/>
    <x v="2"/>
    <n v="3"/>
    <n v="0.83333333333333337"/>
    <n v="2.5"/>
    <n v="150"/>
  </r>
  <r>
    <x v="2"/>
    <x v="1"/>
    <n v="5"/>
    <n v="0.8"/>
    <n v="4"/>
    <n v="500"/>
  </r>
  <r>
    <x v="13"/>
    <x v="2"/>
    <n v="3"/>
    <n v="0.83333333333333337"/>
    <n v="2.5"/>
    <n v="150"/>
  </r>
  <r>
    <x v="7"/>
    <x v="0"/>
    <n v="2.5"/>
    <n v="0.8"/>
    <n v="2"/>
    <n v="120"/>
  </r>
  <r>
    <x v="8"/>
    <x v="3"/>
    <n v="2"/>
    <n v="0.75"/>
    <n v="1.5"/>
    <n v="255"/>
  </r>
  <r>
    <x v="13"/>
    <x v="2"/>
    <n v="3"/>
    <n v="0.83333333333333337"/>
    <n v="2.5"/>
    <n v="150"/>
  </r>
  <r>
    <x v="11"/>
    <x v="3"/>
    <n v="2"/>
    <n v="0.5"/>
    <n v="1"/>
    <n v="300"/>
  </r>
  <r>
    <x v="8"/>
    <x v="3"/>
    <n v="2"/>
    <n v="0.75"/>
    <n v="1.5"/>
    <n v="255"/>
  </r>
  <r>
    <x v="10"/>
    <x v="1"/>
    <n v="3"/>
    <n v="0.5"/>
    <n v="1.5"/>
    <n v="560"/>
  </r>
  <r>
    <x v="9"/>
    <x v="3"/>
    <n v="2"/>
    <n v="0.5"/>
    <n v="1"/>
    <n v="280"/>
  </r>
  <r>
    <x v="0"/>
    <x v="0"/>
    <n v="4"/>
    <n v="0.5"/>
    <n v="2"/>
    <n v="200"/>
  </r>
  <r>
    <x v="13"/>
    <x v="2"/>
    <n v="3"/>
    <n v="0.83333333333333337"/>
    <n v="2.5"/>
    <n v="150"/>
  </r>
  <r>
    <x v="13"/>
    <x v="2"/>
    <n v="3"/>
    <n v="0.83333333333333337"/>
    <n v="2.5"/>
    <n v="150"/>
  </r>
  <r>
    <x v="13"/>
    <x v="2"/>
    <n v="3"/>
    <n v="0.83333333333333337"/>
    <n v="2.5"/>
    <n v="150"/>
  </r>
  <r>
    <x v="0"/>
    <x v="0"/>
    <n v="4"/>
    <n v="0.5"/>
    <n v="2"/>
    <n v="200"/>
  </r>
  <r>
    <x v="13"/>
    <x v="2"/>
    <n v="3"/>
    <n v="0.83333333333333337"/>
    <n v="2.5"/>
    <n v="150"/>
  </r>
  <r>
    <x v="11"/>
    <x v="3"/>
    <n v="2"/>
    <n v="0.5"/>
    <n v="1"/>
    <n v="300"/>
  </r>
  <r>
    <x v="3"/>
    <x v="1"/>
    <n v="2"/>
    <n v="0.25"/>
    <n v="0.5"/>
    <n v="480"/>
  </r>
  <r>
    <x v="0"/>
    <x v="0"/>
    <n v="4"/>
    <n v="0.5"/>
    <n v="2"/>
    <n v="200"/>
  </r>
  <r>
    <x v="2"/>
    <x v="1"/>
    <n v="5"/>
    <n v="0.8"/>
    <n v="4"/>
    <n v="500"/>
  </r>
  <r>
    <x v="13"/>
    <x v="2"/>
    <n v="3"/>
    <n v="0.83333333333333337"/>
    <n v="2.5"/>
    <n v="150"/>
  </r>
  <r>
    <x v="5"/>
    <x v="1"/>
    <n v="1.5"/>
    <n v="0.66666666666666663"/>
    <n v="1"/>
    <n v="265"/>
  </r>
  <r>
    <x v="7"/>
    <x v="0"/>
    <n v="2.5"/>
    <n v="0.8"/>
    <n v="2"/>
    <n v="120"/>
  </r>
  <r>
    <x v="9"/>
    <x v="3"/>
    <n v="2"/>
    <n v="0.5"/>
    <n v="1"/>
    <n v="280"/>
  </r>
  <r>
    <x v="4"/>
    <x v="0"/>
    <n v="3"/>
    <n v="0.83333333333333337"/>
    <n v="2.5"/>
    <n v="0"/>
  </r>
  <r>
    <x v="3"/>
    <x v="1"/>
    <n v="2"/>
    <n v="0.25"/>
    <n v="0.5"/>
    <n v="480"/>
  </r>
  <r>
    <x v="13"/>
    <x v="2"/>
    <n v="3"/>
    <n v="0.83333333333333337"/>
    <n v="2.5"/>
    <n v="150"/>
  </r>
  <r>
    <x v="11"/>
    <x v="3"/>
    <n v="2"/>
    <n v="0.5"/>
    <n v="1"/>
    <n v="300"/>
  </r>
  <r>
    <x v="3"/>
    <x v="1"/>
    <n v="2"/>
    <n v="0.25"/>
    <n v="0.5"/>
    <n v="480"/>
  </r>
  <r>
    <x v="4"/>
    <x v="0"/>
    <n v="3"/>
    <n v="0.83333333333333337"/>
    <n v="2.5"/>
    <n v="0"/>
  </r>
  <r>
    <x v="2"/>
    <x v="1"/>
    <n v="5"/>
    <n v="0.8"/>
    <n v="4"/>
    <n v="500"/>
  </r>
  <r>
    <x v="0"/>
    <x v="0"/>
    <n v="4"/>
    <n v="0.5"/>
    <n v="2"/>
    <n v="200"/>
  </r>
  <r>
    <x v="3"/>
    <x v="1"/>
    <n v="2"/>
    <n v="0.25"/>
    <n v="0.5"/>
    <n v="480"/>
  </r>
  <r>
    <x v="13"/>
    <x v="2"/>
    <n v="3"/>
    <n v="0.83333333333333337"/>
    <n v="2.5"/>
    <n v="150"/>
  </r>
  <r>
    <x v="8"/>
    <x v="3"/>
    <n v="2"/>
    <n v="0.75"/>
    <n v="1.5"/>
    <n v="255"/>
  </r>
  <r>
    <x v="4"/>
    <x v="0"/>
    <n v="3"/>
    <n v="0.83333333333333337"/>
    <n v="2.5"/>
    <n v="0"/>
  </r>
  <r>
    <x v="13"/>
    <x v="2"/>
    <n v="3"/>
    <n v="0.83333333333333337"/>
    <n v="2.5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gridDropZones="1" multipleFieldFilters="0" chartFormat="1">
  <location ref="A1:B31" firstHeaderRow="2" firstDataRow="2" firstDataCol="1"/>
  <pivotFields count="6">
    <pivotField axis="axisRow" showAll="0">
      <items count="15">
        <item x="0"/>
        <item x="4"/>
        <item x="8"/>
        <item x="6"/>
        <item x="11"/>
        <item x="1"/>
        <item x="5"/>
        <item x="12"/>
        <item x="9"/>
        <item x="10"/>
        <item x="3"/>
        <item x="2"/>
        <item x="13"/>
        <item x="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numFmtId="44" showAll="0"/>
    <pivotField numFmtId="9" showAll="0"/>
    <pivotField numFmtId="44" showAll="0"/>
    <pivotField showAll="0"/>
  </pivotFields>
  <rowFields count="2">
    <field x="0"/>
    <field x="1"/>
  </rowFields>
  <rowItems count="29">
    <i>
      <x/>
    </i>
    <i r="1">
      <x/>
    </i>
    <i>
      <x v="1"/>
    </i>
    <i r="1">
      <x/>
    </i>
    <i>
      <x v="2"/>
    </i>
    <i r="1">
      <x v="1"/>
    </i>
    <i>
      <x v="3"/>
    </i>
    <i r="1">
      <x v="2"/>
    </i>
    <i>
      <x v="4"/>
    </i>
    <i r="1">
      <x v="1"/>
    </i>
    <i>
      <x v="5"/>
    </i>
    <i r="1">
      <x v="3"/>
    </i>
    <i>
      <x v="6"/>
    </i>
    <i r="1">
      <x v="3"/>
    </i>
    <i>
      <x v="7"/>
    </i>
    <i r="1">
      <x v="2"/>
    </i>
    <i>
      <x v="8"/>
    </i>
    <i r="1">
      <x v="1"/>
    </i>
    <i>
      <x v="9"/>
    </i>
    <i r="1">
      <x v="3"/>
    </i>
    <i>
      <x v="10"/>
    </i>
    <i r="1">
      <x v="3"/>
    </i>
    <i>
      <x v="11"/>
    </i>
    <i r="1">
      <x v="3"/>
    </i>
    <i>
      <x v="12"/>
    </i>
    <i r="1">
      <x v="2"/>
    </i>
    <i>
      <x v="13"/>
    </i>
    <i r="1">
      <x/>
    </i>
    <i t="grand">
      <x/>
    </i>
  </rowItems>
  <colItems count="1">
    <i/>
  </colItems>
  <dataFields count="1">
    <dataField name="Sum of Price" fld="2" baseField="0" baseItem="0"/>
  </dataFields>
  <formats count="2">
    <format dxfId="2">
      <pivotArea collapsedLevelsAreSubtotals="1" fieldPosition="0">
        <references count="1">
          <reference field="0" count="1">
            <x v="0"/>
          </reference>
        </references>
      </pivotArea>
    </format>
    <format dxfId="0">
      <pivotArea dataOnly="0" labelOnly="1" fieldPosition="0">
        <references count="1">
          <reference field="0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pane ySplit="1" topLeftCell="A2" activePane="bottomLeft" state="frozen"/>
      <selection pane="bottomLeft" activeCell="C10" sqref="C10"/>
    </sheetView>
  </sheetViews>
  <sheetFormatPr defaultColWidth="11" defaultRowHeight="15.75" x14ac:dyDescent="0.5"/>
  <cols>
    <col min="1" max="1" width="20.3125" bestFit="1" customWidth="1"/>
    <col min="2" max="2" width="13.875" customWidth="1"/>
    <col min="3" max="3" width="11" style="26"/>
    <col min="5" max="5" width="11.75" style="26" customWidth="1"/>
    <col min="6" max="6" width="10.8125" style="23" customWidth="1"/>
    <col min="7" max="7" width="15.5625" customWidth="1"/>
  </cols>
  <sheetData>
    <row r="1" spans="1:7" x14ac:dyDescent="0.5">
      <c r="A1" s="14" t="s">
        <v>0</v>
      </c>
      <c r="B1" s="14" t="s">
        <v>1</v>
      </c>
      <c r="C1" s="24" t="s">
        <v>2</v>
      </c>
      <c r="D1" s="14" t="s">
        <v>3</v>
      </c>
      <c r="E1" s="24" t="s">
        <v>4</v>
      </c>
      <c r="F1" s="21" t="s">
        <v>5</v>
      </c>
    </row>
    <row r="2" spans="1:7" x14ac:dyDescent="0.5">
      <c r="A2" t="s">
        <v>6</v>
      </c>
      <c r="B2" t="s">
        <v>7</v>
      </c>
      <c r="C2" s="27">
        <v>4</v>
      </c>
      <c r="D2" s="1">
        <v>0.5</v>
      </c>
      <c r="E2" s="26">
        <v>2</v>
      </c>
      <c r="F2" s="22">
        <v>200</v>
      </c>
      <c r="G2" s="17"/>
    </row>
    <row r="3" spans="1:7" x14ac:dyDescent="0.5">
      <c r="A3" t="s">
        <v>8</v>
      </c>
      <c r="B3" t="s">
        <v>9</v>
      </c>
      <c r="C3" s="25">
        <v>3</v>
      </c>
      <c r="D3" s="1">
        <v>0.66666666666666663</v>
      </c>
      <c r="E3" s="26">
        <v>2</v>
      </c>
      <c r="F3" s="22">
        <v>320</v>
      </c>
      <c r="G3" s="17"/>
    </row>
    <row r="4" spans="1:7" x14ac:dyDescent="0.5">
      <c r="A4" t="s">
        <v>10</v>
      </c>
      <c r="B4" t="s">
        <v>9</v>
      </c>
      <c r="C4" s="25">
        <v>5</v>
      </c>
      <c r="D4" s="1">
        <v>0.8</v>
      </c>
      <c r="E4" s="26">
        <v>4</v>
      </c>
      <c r="F4" s="22">
        <v>500</v>
      </c>
      <c r="G4" s="17"/>
    </row>
    <row r="5" spans="1:7" x14ac:dyDescent="0.5">
      <c r="A5" t="s">
        <v>11</v>
      </c>
      <c r="B5" t="s">
        <v>9</v>
      </c>
      <c r="C5" s="25">
        <v>2</v>
      </c>
      <c r="D5" s="1">
        <v>0.25</v>
      </c>
      <c r="E5" s="26">
        <v>0.5</v>
      </c>
      <c r="F5" s="22">
        <v>480</v>
      </c>
      <c r="G5" s="17"/>
    </row>
    <row r="6" spans="1:7" x14ac:dyDescent="0.5">
      <c r="A6" t="s">
        <v>12</v>
      </c>
      <c r="B6" t="s">
        <v>7</v>
      </c>
      <c r="C6" s="25">
        <v>3</v>
      </c>
      <c r="D6" s="1">
        <v>0.83333333333333337</v>
      </c>
      <c r="E6" s="26">
        <v>2.5</v>
      </c>
      <c r="F6" s="22">
        <v>0</v>
      </c>
      <c r="G6" s="17"/>
    </row>
    <row r="7" spans="1:7" x14ac:dyDescent="0.5">
      <c r="A7" t="s">
        <v>13</v>
      </c>
      <c r="B7" t="s">
        <v>9</v>
      </c>
      <c r="C7" s="25">
        <v>1.5</v>
      </c>
      <c r="D7" s="1">
        <v>0.66666666666666663</v>
      </c>
      <c r="E7" s="26">
        <v>1</v>
      </c>
      <c r="F7" s="22">
        <v>265</v>
      </c>
      <c r="G7" s="17"/>
    </row>
    <row r="8" spans="1:7" x14ac:dyDescent="0.5">
      <c r="A8" t="s">
        <v>14</v>
      </c>
      <c r="B8" t="s">
        <v>15</v>
      </c>
      <c r="C8" s="25">
        <v>3</v>
      </c>
      <c r="D8" s="1">
        <v>0.5</v>
      </c>
      <c r="E8" s="26">
        <v>1.5</v>
      </c>
      <c r="F8" s="22">
        <v>300</v>
      </c>
      <c r="G8" s="17"/>
    </row>
    <row r="9" spans="1:7" x14ac:dyDescent="0.5">
      <c r="A9" t="s">
        <v>16</v>
      </c>
      <c r="B9" t="s">
        <v>7</v>
      </c>
      <c r="C9" s="25">
        <v>2.5</v>
      </c>
      <c r="D9" s="1">
        <v>0.8</v>
      </c>
      <c r="E9" s="26">
        <v>2</v>
      </c>
      <c r="F9" s="22">
        <v>240</v>
      </c>
      <c r="G9" s="17"/>
    </row>
    <row r="10" spans="1:7" x14ac:dyDescent="0.5">
      <c r="A10" t="s">
        <v>17</v>
      </c>
      <c r="B10" t="s">
        <v>18</v>
      </c>
      <c r="C10" s="25">
        <v>2</v>
      </c>
      <c r="D10" s="1">
        <v>0.75</v>
      </c>
      <c r="E10" s="26">
        <v>1.5</v>
      </c>
      <c r="F10" s="22">
        <v>255</v>
      </c>
      <c r="G10" s="17"/>
    </row>
    <row r="11" spans="1:7" x14ac:dyDescent="0.5">
      <c r="A11" t="s">
        <v>19</v>
      </c>
      <c r="B11" t="s">
        <v>18</v>
      </c>
      <c r="C11" s="25">
        <v>2</v>
      </c>
      <c r="D11" s="1">
        <v>0.5</v>
      </c>
      <c r="E11" s="26">
        <v>1</v>
      </c>
      <c r="F11" s="22">
        <v>280</v>
      </c>
      <c r="G11" s="17"/>
    </row>
    <row r="12" spans="1:7" x14ac:dyDescent="0.5">
      <c r="A12" t="s">
        <v>20</v>
      </c>
      <c r="B12" t="s">
        <v>9</v>
      </c>
      <c r="C12" s="25">
        <v>3</v>
      </c>
      <c r="D12" s="1">
        <v>0.5</v>
      </c>
      <c r="E12" s="26">
        <v>1.5</v>
      </c>
      <c r="F12" s="22">
        <v>560</v>
      </c>
      <c r="G12" s="17"/>
    </row>
    <row r="13" spans="1:7" x14ac:dyDescent="0.5">
      <c r="A13" t="s">
        <v>21</v>
      </c>
      <c r="B13" t="s">
        <v>18</v>
      </c>
      <c r="C13" s="25">
        <v>2</v>
      </c>
      <c r="D13" s="1">
        <v>0.5</v>
      </c>
      <c r="E13" s="26">
        <v>1</v>
      </c>
      <c r="F13" s="22">
        <v>300</v>
      </c>
      <c r="G13" s="17"/>
    </row>
    <row r="14" spans="1:7" x14ac:dyDescent="0.5">
      <c r="A14" t="s">
        <v>22</v>
      </c>
      <c r="B14" t="s">
        <v>15</v>
      </c>
      <c r="C14" s="25">
        <v>3</v>
      </c>
      <c r="D14" s="1">
        <v>0.66666666666666663</v>
      </c>
      <c r="E14" s="26">
        <v>2</v>
      </c>
      <c r="F14" s="22">
        <v>240</v>
      </c>
      <c r="G14" s="17"/>
    </row>
    <row r="15" spans="1:7" x14ac:dyDescent="0.5">
      <c r="A15" t="s">
        <v>23</v>
      </c>
      <c r="B15" t="s">
        <v>15</v>
      </c>
      <c r="C15" s="25">
        <v>3</v>
      </c>
      <c r="D15" s="1">
        <v>0.83333333333333337</v>
      </c>
      <c r="E15" s="26">
        <v>2.5</v>
      </c>
      <c r="F15" s="22">
        <v>150.001</v>
      </c>
      <c r="G15" s="17"/>
    </row>
  </sheetData>
  <autoFilter ref="A1:F15" xr:uid="{00000000-0001-0000-0000-000000000000}"/>
  <conditionalFormatting sqref="E1:E15 E201:E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B21" sqref="B21"/>
    </sheetView>
  </sheetViews>
  <sheetFormatPr defaultColWidth="11" defaultRowHeight="15.75" x14ac:dyDescent="0.5"/>
  <cols>
    <col min="1" max="1" width="20.3125" bestFit="1" customWidth="1"/>
    <col min="2" max="2" width="20.8125" customWidth="1"/>
  </cols>
  <sheetData>
    <row r="1" spans="1:3" x14ac:dyDescent="0.5">
      <c r="A1" s="15" t="s">
        <v>0</v>
      </c>
      <c r="B1" s="15" t="s">
        <v>1</v>
      </c>
      <c r="C1" s="15" t="s">
        <v>5</v>
      </c>
    </row>
    <row r="2" spans="1:3" x14ac:dyDescent="0.5">
      <c r="A2" s="17" t="s">
        <v>6</v>
      </c>
      <c r="B2" s="16" t="s">
        <v>7</v>
      </c>
      <c r="C2" s="16">
        <v>200</v>
      </c>
    </row>
    <row r="3" spans="1:3" x14ac:dyDescent="0.5">
      <c r="A3" s="17" t="s">
        <v>12</v>
      </c>
      <c r="B3" s="16" t="s">
        <v>7</v>
      </c>
      <c r="C3" s="16">
        <v>0</v>
      </c>
    </row>
    <row r="4" spans="1:3" x14ac:dyDescent="0.5">
      <c r="A4" s="17" t="s">
        <v>17</v>
      </c>
      <c r="B4" s="16" t="s">
        <v>18</v>
      </c>
      <c r="C4" s="16">
        <v>255</v>
      </c>
    </row>
    <row r="5" spans="1:3" x14ac:dyDescent="0.5">
      <c r="A5" s="17" t="s">
        <v>14</v>
      </c>
      <c r="B5" s="16" t="s">
        <v>15</v>
      </c>
      <c r="C5" s="16">
        <v>300</v>
      </c>
    </row>
    <row r="6" spans="1:3" x14ac:dyDescent="0.5">
      <c r="A6" s="17" t="s">
        <v>21</v>
      </c>
      <c r="B6" s="16" t="s">
        <v>18</v>
      </c>
      <c r="C6" s="16">
        <v>300</v>
      </c>
    </row>
    <row r="7" spans="1:3" x14ac:dyDescent="0.5">
      <c r="A7" s="17" t="s">
        <v>8</v>
      </c>
      <c r="B7" s="16" t="s">
        <v>9</v>
      </c>
      <c r="C7" s="16">
        <v>320</v>
      </c>
    </row>
    <row r="8" spans="1:3" x14ac:dyDescent="0.5">
      <c r="A8" s="17" t="s">
        <v>13</v>
      </c>
      <c r="B8" s="16" t="s">
        <v>9</v>
      </c>
      <c r="C8" s="16">
        <v>265</v>
      </c>
    </row>
    <row r="9" spans="1:3" x14ac:dyDescent="0.5">
      <c r="A9" s="17" t="s">
        <v>22</v>
      </c>
      <c r="B9" s="16" t="s">
        <v>15</v>
      </c>
      <c r="C9" s="16">
        <v>240</v>
      </c>
    </row>
    <row r="10" spans="1:3" x14ac:dyDescent="0.5">
      <c r="A10" s="17" t="s">
        <v>19</v>
      </c>
      <c r="B10" s="16" t="s">
        <v>18</v>
      </c>
      <c r="C10" s="16">
        <v>280</v>
      </c>
    </row>
    <row r="11" spans="1:3" x14ac:dyDescent="0.5">
      <c r="A11" s="17" t="s">
        <v>20</v>
      </c>
      <c r="B11" s="16" t="s">
        <v>9</v>
      </c>
      <c r="C11" s="16">
        <v>560</v>
      </c>
    </row>
    <row r="12" spans="1:3" x14ac:dyDescent="0.5">
      <c r="A12" s="17" t="s">
        <v>11</v>
      </c>
      <c r="B12" s="16" t="s">
        <v>9</v>
      </c>
      <c r="C12" s="16">
        <v>480</v>
      </c>
    </row>
    <row r="13" spans="1:3" x14ac:dyDescent="0.5">
      <c r="A13" s="17" t="s">
        <v>10</v>
      </c>
      <c r="B13" s="16" t="s">
        <v>9</v>
      </c>
      <c r="C13" s="16">
        <v>500</v>
      </c>
    </row>
    <row r="14" spans="1:3" x14ac:dyDescent="0.5">
      <c r="A14" s="17" t="s">
        <v>23</v>
      </c>
      <c r="B14" s="16" t="s">
        <v>15</v>
      </c>
      <c r="C14" s="16">
        <v>150</v>
      </c>
    </row>
    <row r="15" spans="1:3" x14ac:dyDescent="0.5">
      <c r="A15" s="17" t="s">
        <v>16</v>
      </c>
      <c r="B15" s="16" t="s">
        <v>7</v>
      </c>
      <c r="C15" s="16">
        <v>120</v>
      </c>
    </row>
    <row r="18" spans="1:2" x14ac:dyDescent="0.5">
      <c r="A18" s="5" t="s">
        <v>24</v>
      </c>
      <c r="B18">
        <f>MATCH("Hamburger",A2:A15,0)</f>
        <v>6</v>
      </c>
    </row>
    <row r="19" spans="1:2" x14ac:dyDescent="0.5">
      <c r="A19" s="5" t="s">
        <v>25</v>
      </c>
      <c r="B19">
        <f>INDEX(B1:C15,3,2)</f>
        <v>0</v>
      </c>
    </row>
    <row r="20" spans="1:2" x14ac:dyDescent="0.5">
      <c r="A20" s="5" t="s">
        <v>26</v>
      </c>
      <c r="B20" s="20" t="str">
        <f ca="1">OFFSET(A1,3,0)</f>
        <v>Chocolate Bar</v>
      </c>
    </row>
    <row r="21" spans="1:2" x14ac:dyDescent="0.5">
      <c r="A21" s="5" t="s">
        <v>27</v>
      </c>
      <c r="B21">
        <f>SMALL(C2:C15,3)</f>
        <v>150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J22" sqref="J22"/>
    </sheetView>
  </sheetViews>
  <sheetFormatPr defaultColWidth="11" defaultRowHeight="15.75" x14ac:dyDescent="0.5"/>
  <cols>
    <col min="1" max="1" width="21.75" bestFit="1" customWidth="1"/>
    <col min="2" max="2" width="4.8125" bestFit="1" customWidth="1"/>
    <col min="3" max="3" width="6.3125" bestFit="1" customWidth="1"/>
    <col min="4" max="4" width="12.3125" bestFit="1" customWidth="1"/>
    <col min="5" max="5" width="8.5625" bestFit="1" customWidth="1"/>
  </cols>
  <sheetData>
    <row r="1" spans="1:2" x14ac:dyDescent="0.5">
      <c r="A1" s="2" t="s">
        <v>28</v>
      </c>
    </row>
    <row r="2" spans="1:2" x14ac:dyDescent="0.5">
      <c r="A2" s="2" t="s">
        <v>29</v>
      </c>
      <c r="B2" t="s">
        <v>30</v>
      </c>
    </row>
    <row r="3" spans="1:2" x14ac:dyDescent="0.5">
      <c r="A3" s="34" t="s">
        <v>6</v>
      </c>
      <c r="B3" s="33">
        <v>80</v>
      </c>
    </row>
    <row r="4" spans="1:2" x14ac:dyDescent="0.5">
      <c r="A4" s="32" t="s">
        <v>7</v>
      </c>
      <c r="B4" s="31">
        <v>80</v>
      </c>
    </row>
    <row r="5" spans="1:2" x14ac:dyDescent="0.5">
      <c r="A5" s="3" t="s">
        <v>12</v>
      </c>
      <c r="B5" s="31">
        <v>39</v>
      </c>
    </row>
    <row r="6" spans="1:2" x14ac:dyDescent="0.5">
      <c r="A6" s="32" t="s">
        <v>7</v>
      </c>
      <c r="B6" s="31">
        <v>39</v>
      </c>
    </row>
    <row r="7" spans="1:2" x14ac:dyDescent="0.5">
      <c r="A7" s="3" t="s">
        <v>17</v>
      </c>
      <c r="B7" s="31">
        <v>26</v>
      </c>
    </row>
    <row r="8" spans="1:2" x14ac:dyDescent="0.5">
      <c r="A8" s="32" t="s">
        <v>18</v>
      </c>
      <c r="B8" s="31">
        <v>26</v>
      </c>
    </row>
    <row r="9" spans="1:2" x14ac:dyDescent="0.5">
      <c r="A9" s="3" t="s">
        <v>14</v>
      </c>
      <c r="B9" s="31">
        <v>33</v>
      </c>
    </row>
    <row r="10" spans="1:2" x14ac:dyDescent="0.5">
      <c r="A10" s="32" t="s">
        <v>15</v>
      </c>
      <c r="B10" s="31">
        <v>33</v>
      </c>
    </row>
    <row r="11" spans="1:2" x14ac:dyDescent="0.5">
      <c r="A11" s="3" t="s">
        <v>21</v>
      </c>
      <c r="B11" s="31">
        <v>28</v>
      </c>
    </row>
    <row r="12" spans="1:2" x14ac:dyDescent="0.5">
      <c r="A12" s="32" t="s">
        <v>18</v>
      </c>
      <c r="B12" s="31">
        <v>28</v>
      </c>
    </row>
    <row r="13" spans="1:2" x14ac:dyDescent="0.5">
      <c r="A13" s="3" t="s">
        <v>8</v>
      </c>
      <c r="B13" s="31">
        <v>48</v>
      </c>
    </row>
    <row r="14" spans="1:2" x14ac:dyDescent="0.5">
      <c r="A14" s="32" t="s">
        <v>9</v>
      </c>
      <c r="B14" s="31">
        <v>48</v>
      </c>
    </row>
    <row r="15" spans="1:2" x14ac:dyDescent="0.5">
      <c r="A15" s="3" t="s">
        <v>13</v>
      </c>
      <c r="B15" s="31">
        <v>22.5</v>
      </c>
    </row>
    <row r="16" spans="1:2" x14ac:dyDescent="0.5">
      <c r="A16" s="32" t="s">
        <v>9</v>
      </c>
      <c r="B16" s="31">
        <v>22.5</v>
      </c>
    </row>
    <row r="17" spans="1:2" x14ac:dyDescent="0.5">
      <c r="A17" s="3" t="s">
        <v>22</v>
      </c>
      <c r="B17" s="31">
        <v>30</v>
      </c>
    </row>
    <row r="18" spans="1:2" x14ac:dyDescent="0.5">
      <c r="A18" s="32" t="s">
        <v>15</v>
      </c>
      <c r="B18" s="31">
        <v>30</v>
      </c>
    </row>
    <row r="19" spans="1:2" x14ac:dyDescent="0.5">
      <c r="A19" s="3" t="s">
        <v>19</v>
      </c>
      <c r="B19" s="31">
        <v>26</v>
      </c>
    </row>
    <row r="20" spans="1:2" x14ac:dyDescent="0.5">
      <c r="A20" s="32" t="s">
        <v>18</v>
      </c>
      <c r="B20" s="31">
        <v>26</v>
      </c>
    </row>
    <row r="21" spans="1:2" x14ac:dyDescent="0.5">
      <c r="A21" s="3" t="s">
        <v>20</v>
      </c>
      <c r="B21" s="31">
        <v>45</v>
      </c>
    </row>
    <row r="22" spans="1:2" x14ac:dyDescent="0.5">
      <c r="A22" s="32" t="s">
        <v>9</v>
      </c>
      <c r="B22" s="31">
        <v>45</v>
      </c>
    </row>
    <row r="23" spans="1:2" x14ac:dyDescent="0.5">
      <c r="A23" s="3" t="s">
        <v>11</v>
      </c>
      <c r="B23" s="31">
        <v>34</v>
      </c>
    </row>
    <row r="24" spans="1:2" x14ac:dyDescent="0.5">
      <c r="A24" s="32" t="s">
        <v>9</v>
      </c>
      <c r="B24" s="31">
        <v>34</v>
      </c>
    </row>
    <row r="25" spans="1:2" x14ac:dyDescent="0.5">
      <c r="A25" s="3" t="s">
        <v>10</v>
      </c>
      <c r="B25" s="31">
        <v>80</v>
      </c>
    </row>
    <row r="26" spans="1:2" x14ac:dyDescent="0.5">
      <c r="A26" s="32" t="s">
        <v>9</v>
      </c>
      <c r="B26" s="31">
        <v>80</v>
      </c>
    </row>
    <row r="27" spans="1:2" x14ac:dyDescent="0.5">
      <c r="A27" s="3" t="s">
        <v>23</v>
      </c>
      <c r="B27" s="31">
        <v>39</v>
      </c>
    </row>
    <row r="28" spans="1:2" x14ac:dyDescent="0.5">
      <c r="A28" s="32" t="s">
        <v>15</v>
      </c>
      <c r="B28" s="31">
        <v>39</v>
      </c>
    </row>
    <row r="29" spans="1:2" x14ac:dyDescent="0.5">
      <c r="A29" s="3" t="s">
        <v>16</v>
      </c>
      <c r="B29" s="31">
        <v>32.5</v>
      </c>
    </row>
    <row r="30" spans="1:2" x14ac:dyDescent="0.5">
      <c r="A30" s="32" t="s">
        <v>7</v>
      </c>
      <c r="B30" s="31">
        <v>32.5</v>
      </c>
    </row>
    <row r="31" spans="1:2" x14ac:dyDescent="0.5">
      <c r="A31" s="3" t="s">
        <v>31</v>
      </c>
      <c r="B31" s="31">
        <v>563</v>
      </c>
    </row>
  </sheetData>
  <pageMargins left="0.75" right="0.75" top="1" bottom="1" header="0.5" footer="0.5"/>
  <pageSetup orientation="portrait" horizontalDpi="4294967292" verticalDpi="4294967292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topLeftCell="E1" workbookViewId="0">
      <selection activeCell="I14" sqref="I14"/>
    </sheetView>
  </sheetViews>
  <sheetFormatPr defaultColWidth="11" defaultRowHeight="15.75" x14ac:dyDescent="0.5"/>
  <cols>
    <col min="5" max="5" width="20.3125" customWidth="1"/>
  </cols>
  <sheetData>
    <row r="1" spans="1:15" x14ac:dyDescent="0.5">
      <c r="A1" t="s">
        <v>0</v>
      </c>
      <c r="B1" t="s">
        <v>6</v>
      </c>
      <c r="C1" t="s">
        <v>12</v>
      </c>
      <c r="D1" t="s">
        <v>17</v>
      </c>
      <c r="E1" s="18" t="s">
        <v>0</v>
      </c>
      <c r="F1" s="18" t="s">
        <v>59</v>
      </c>
    </row>
    <row r="2" spans="1:15" x14ac:dyDescent="0.5">
      <c r="A2" t="s">
        <v>32</v>
      </c>
      <c r="B2" s="1">
        <v>0.15</v>
      </c>
      <c r="C2" s="1">
        <v>0.05</v>
      </c>
      <c r="D2" s="1">
        <v>0.15</v>
      </c>
      <c r="E2" s="16" t="s">
        <v>14</v>
      </c>
      <c r="F2" s="19">
        <v>0.15</v>
      </c>
      <c r="G2" s="1"/>
      <c r="H2" s="1"/>
      <c r="I2" s="1"/>
      <c r="J2" s="1"/>
      <c r="K2" s="1"/>
      <c r="L2" s="1"/>
      <c r="M2" s="1"/>
      <c r="N2" s="1"/>
      <c r="O2" s="1"/>
    </row>
    <row r="3" spans="1:15" x14ac:dyDescent="0.5">
      <c r="E3" s="16" t="s">
        <v>21</v>
      </c>
      <c r="F3" s="19">
        <v>0.15</v>
      </c>
    </row>
    <row r="4" spans="1:15" x14ac:dyDescent="0.5">
      <c r="E4" s="16" t="s">
        <v>8</v>
      </c>
      <c r="F4" s="19">
        <v>0.05</v>
      </c>
    </row>
    <row r="5" spans="1:15" x14ac:dyDescent="0.5">
      <c r="E5" s="16" t="s">
        <v>13</v>
      </c>
      <c r="F5" s="19">
        <v>0.05</v>
      </c>
    </row>
    <row r="6" spans="1:15" x14ac:dyDescent="0.5">
      <c r="E6" s="16" t="s">
        <v>22</v>
      </c>
      <c r="F6" s="19">
        <v>0.15</v>
      </c>
    </row>
    <row r="7" spans="1:15" x14ac:dyDescent="0.5">
      <c r="E7" s="16" t="s">
        <v>19</v>
      </c>
      <c r="F7" s="19">
        <v>0.15</v>
      </c>
    </row>
    <row r="8" spans="1:15" x14ac:dyDescent="0.5">
      <c r="E8" s="16" t="s">
        <v>20</v>
      </c>
      <c r="F8" s="19">
        <v>0.05</v>
      </c>
    </row>
    <row r="9" spans="1:15" x14ac:dyDescent="0.5">
      <c r="E9" s="16" t="s">
        <v>11</v>
      </c>
      <c r="F9" s="19">
        <v>0.05</v>
      </c>
    </row>
    <row r="10" spans="1:15" x14ac:dyDescent="0.5">
      <c r="E10" s="16" t="s">
        <v>10</v>
      </c>
      <c r="F10" s="19">
        <v>0.05</v>
      </c>
    </row>
    <row r="11" spans="1:15" x14ac:dyDescent="0.5">
      <c r="E11" s="16" t="s">
        <v>23</v>
      </c>
      <c r="F11" s="19">
        <v>0.15</v>
      </c>
    </row>
    <row r="12" spans="1:15" x14ac:dyDescent="0.5">
      <c r="E12" s="16" t="s">
        <v>16</v>
      </c>
      <c r="F12" s="19">
        <v>0.15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A2" sqref="A2"/>
    </sheetView>
  </sheetViews>
  <sheetFormatPr defaultColWidth="11" defaultRowHeight="15.75" x14ac:dyDescent="0.5"/>
  <cols>
    <col min="1" max="1" width="20.3125" bestFit="1" customWidth="1"/>
  </cols>
  <sheetData>
    <row r="1" spans="1:4" x14ac:dyDescent="0.5">
      <c r="A1" s="9" t="s">
        <v>29</v>
      </c>
      <c r="B1" s="9" t="s">
        <v>28</v>
      </c>
      <c r="D1" t="s">
        <v>33</v>
      </c>
    </row>
    <row r="2" spans="1:4" x14ac:dyDescent="0.5">
      <c r="A2" t="s">
        <v>6</v>
      </c>
      <c r="B2">
        <v>80</v>
      </c>
      <c r="D2">
        <f t="array" ref="D2">SUMPRODUCT(B2:B15,TRANSPOSE('Fee Schedule'!B2:O2))</f>
        <v>22.049999999999997</v>
      </c>
    </row>
    <row r="3" spans="1:4" x14ac:dyDescent="0.5">
      <c r="A3" t="s">
        <v>12</v>
      </c>
      <c r="B3">
        <v>39</v>
      </c>
    </row>
    <row r="4" spans="1:4" x14ac:dyDescent="0.5">
      <c r="A4" t="s">
        <v>17</v>
      </c>
      <c r="B4">
        <v>26</v>
      </c>
    </row>
    <row r="5" spans="1:4" x14ac:dyDescent="0.5">
      <c r="A5" t="s">
        <v>14</v>
      </c>
      <c r="B5">
        <v>33</v>
      </c>
    </row>
    <row r="6" spans="1:4" x14ac:dyDescent="0.5">
      <c r="A6" t="s">
        <v>21</v>
      </c>
      <c r="B6">
        <v>28</v>
      </c>
    </row>
    <row r="7" spans="1:4" x14ac:dyDescent="0.5">
      <c r="A7" t="s">
        <v>8</v>
      </c>
      <c r="B7">
        <v>48</v>
      </c>
    </row>
    <row r="8" spans="1:4" x14ac:dyDescent="0.5">
      <c r="A8" t="s">
        <v>13</v>
      </c>
      <c r="B8">
        <v>22.5</v>
      </c>
    </row>
    <row r="9" spans="1:4" x14ac:dyDescent="0.5">
      <c r="A9" t="s">
        <v>22</v>
      </c>
      <c r="B9">
        <v>30</v>
      </c>
    </row>
    <row r="10" spans="1:4" x14ac:dyDescent="0.5">
      <c r="A10" t="s">
        <v>19</v>
      </c>
      <c r="B10">
        <v>26</v>
      </c>
    </row>
    <row r="11" spans="1:4" x14ac:dyDescent="0.5">
      <c r="A11" t="s">
        <v>20</v>
      </c>
      <c r="B11">
        <v>45</v>
      </c>
    </row>
    <row r="12" spans="1:4" x14ac:dyDescent="0.5">
      <c r="A12" t="s">
        <v>11</v>
      </c>
      <c r="B12">
        <v>34</v>
      </c>
    </row>
    <row r="13" spans="1:4" x14ac:dyDescent="0.5">
      <c r="A13" t="s">
        <v>10</v>
      </c>
      <c r="B13">
        <v>80</v>
      </c>
    </row>
    <row r="14" spans="1:4" x14ac:dyDescent="0.5">
      <c r="A14" t="s">
        <v>23</v>
      </c>
      <c r="B14">
        <v>39</v>
      </c>
    </row>
    <row r="15" spans="1:4" x14ac:dyDescent="0.5">
      <c r="A15" t="s">
        <v>16</v>
      </c>
      <c r="B15">
        <v>32.5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C16" sqref="C16"/>
    </sheetView>
  </sheetViews>
  <sheetFormatPr defaultColWidth="11" defaultRowHeight="15.75" x14ac:dyDescent="0.5"/>
  <cols>
    <col min="1" max="1" width="20.3125" bestFit="1" customWidth="1"/>
    <col min="2" max="2" width="12.8125" bestFit="1" customWidth="1"/>
    <col min="4" max="4" width="12.3125" customWidth="1"/>
    <col min="5" max="5" width="16.8125" bestFit="1" customWidth="1"/>
  </cols>
  <sheetData>
    <row r="1" spans="1:3" x14ac:dyDescent="0.5">
      <c r="A1" t="s">
        <v>0</v>
      </c>
      <c r="B1" t="s">
        <v>5</v>
      </c>
      <c r="C1" s="6" t="s">
        <v>34</v>
      </c>
    </row>
    <row r="2" spans="1:3" x14ac:dyDescent="0.5">
      <c r="A2" s="4" t="s">
        <v>6</v>
      </c>
      <c r="B2">
        <v>200</v>
      </c>
      <c r="C2" s="6">
        <v>0</v>
      </c>
    </row>
    <row r="3" spans="1:3" x14ac:dyDescent="0.5">
      <c r="A3" s="4" t="s">
        <v>12</v>
      </c>
      <c r="B3">
        <v>0</v>
      </c>
      <c r="C3" s="6">
        <v>0</v>
      </c>
    </row>
    <row r="4" spans="1:3" x14ac:dyDescent="0.5">
      <c r="A4" s="4" t="s">
        <v>17</v>
      </c>
      <c r="B4">
        <v>255</v>
      </c>
      <c r="C4" s="6">
        <v>0</v>
      </c>
    </row>
    <row r="5" spans="1:3" x14ac:dyDescent="0.5">
      <c r="A5" s="4" t="s">
        <v>14</v>
      </c>
      <c r="B5">
        <v>300</v>
      </c>
      <c r="C5" s="6">
        <v>0</v>
      </c>
    </row>
    <row r="6" spans="1:3" x14ac:dyDescent="0.5">
      <c r="A6" s="4" t="s">
        <v>21</v>
      </c>
      <c r="B6">
        <v>300</v>
      </c>
      <c r="C6" s="6">
        <v>0</v>
      </c>
    </row>
    <row r="7" spans="1:3" x14ac:dyDescent="0.5">
      <c r="A7" s="4" t="s">
        <v>8</v>
      </c>
      <c r="B7">
        <v>320</v>
      </c>
      <c r="C7" s="6">
        <v>0</v>
      </c>
    </row>
    <row r="8" spans="1:3" x14ac:dyDescent="0.5">
      <c r="A8" s="4" t="s">
        <v>13</v>
      </c>
      <c r="B8">
        <v>265</v>
      </c>
      <c r="C8" s="6">
        <v>0</v>
      </c>
    </row>
    <row r="9" spans="1:3" x14ac:dyDescent="0.5">
      <c r="A9" s="4" t="s">
        <v>22</v>
      </c>
      <c r="B9">
        <v>240</v>
      </c>
      <c r="C9" s="6">
        <v>0</v>
      </c>
    </row>
    <row r="10" spans="1:3" x14ac:dyDescent="0.5">
      <c r="A10" s="4" t="s">
        <v>19</v>
      </c>
      <c r="B10">
        <v>280</v>
      </c>
      <c r="C10" s="6">
        <v>1</v>
      </c>
    </row>
    <row r="11" spans="1:3" x14ac:dyDescent="0.5">
      <c r="A11" s="4" t="s">
        <v>20</v>
      </c>
      <c r="B11">
        <v>560</v>
      </c>
      <c r="C11" s="6">
        <v>2</v>
      </c>
    </row>
    <row r="12" spans="1:3" x14ac:dyDescent="0.5">
      <c r="A12" s="4" t="s">
        <v>11</v>
      </c>
      <c r="B12">
        <v>480</v>
      </c>
      <c r="C12" s="6">
        <v>0</v>
      </c>
    </row>
    <row r="13" spans="1:3" x14ac:dyDescent="0.5">
      <c r="A13" s="4" t="s">
        <v>10</v>
      </c>
      <c r="B13">
        <v>500</v>
      </c>
      <c r="C13" s="6">
        <v>2</v>
      </c>
    </row>
    <row r="14" spans="1:3" x14ac:dyDescent="0.5">
      <c r="A14" s="4" t="s">
        <v>23</v>
      </c>
      <c r="B14">
        <v>150</v>
      </c>
      <c r="C14" s="6">
        <v>0</v>
      </c>
    </row>
    <row r="15" spans="1:3" x14ac:dyDescent="0.5">
      <c r="A15" s="4" t="s">
        <v>16</v>
      </c>
      <c r="B15">
        <v>120</v>
      </c>
      <c r="C15" s="6">
        <v>0</v>
      </c>
    </row>
    <row r="16" spans="1:3" x14ac:dyDescent="0.5">
      <c r="B16" s="6" t="s">
        <v>35</v>
      </c>
      <c r="C16" s="7">
        <f>SUM(C2:C15)</f>
        <v>5</v>
      </c>
    </row>
    <row r="17" spans="1:3" x14ac:dyDescent="0.5">
      <c r="B17" s="6" t="s">
        <v>36</v>
      </c>
      <c r="C17" s="7">
        <f>SUMPRODUCT(B2:B15,C2:C15)</f>
        <v>2400</v>
      </c>
    </row>
    <row r="18" spans="1:3" x14ac:dyDescent="0.5">
      <c r="A18" s="5"/>
    </row>
    <row r="19" spans="1:3" x14ac:dyDescent="0.5">
      <c r="A19" s="5"/>
    </row>
    <row r="20" spans="1:3" x14ac:dyDescent="0.5">
      <c r="A20" s="5"/>
    </row>
    <row r="21" spans="1:3" x14ac:dyDescent="0.5">
      <c r="A21" s="5"/>
    </row>
  </sheetData>
  <pageMargins left="0.75" right="0.75" top="1" bottom="1" header="0.5" footer="0.5"/>
  <pageSetup orientation="portrait" horizontalDpi="4294967292" verticalDpi="4294967292"/>
  <ignoredErrors>
    <ignoredError sqref="C16:C17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5F53-B644-4781-9D06-32D19AA399F0}">
  <dimension ref="A2:B60"/>
  <sheetViews>
    <sheetView tabSelected="1" workbookViewId="0">
      <selection activeCell="B8" sqref="B8"/>
    </sheetView>
  </sheetViews>
  <sheetFormatPr defaultRowHeight="15.75" x14ac:dyDescent="0.5"/>
  <cols>
    <col min="2" max="2" width="76.6875" customWidth="1"/>
  </cols>
  <sheetData>
    <row r="2" spans="1:2" x14ac:dyDescent="0.5">
      <c r="A2" s="30" t="s">
        <v>79</v>
      </c>
      <c r="B2" s="29" t="s">
        <v>37</v>
      </c>
    </row>
    <row r="4" spans="1:2" x14ac:dyDescent="0.5">
      <c r="B4" s="9" t="s">
        <v>38</v>
      </c>
    </row>
    <row r="5" spans="1:2" x14ac:dyDescent="0.5">
      <c r="B5" s="10"/>
    </row>
    <row r="6" spans="1:2" x14ac:dyDescent="0.5">
      <c r="A6" s="3">
        <v>1</v>
      </c>
      <c r="B6" s="13" t="s">
        <v>48</v>
      </c>
    </row>
    <row r="7" spans="1:2" ht="43.9" customHeight="1" x14ac:dyDescent="0.5">
      <c r="B7" s="12" t="s">
        <v>58</v>
      </c>
    </row>
    <row r="8" spans="1:2" x14ac:dyDescent="0.5">
      <c r="B8" t="s">
        <v>47</v>
      </c>
    </row>
    <row r="9" spans="1:2" ht="27.4" customHeight="1" x14ac:dyDescent="0.5">
      <c r="B9" s="11" t="s">
        <v>39</v>
      </c>
    </row>
    <row r="10" spans="1:2" x14ac:dyDescent="0.5">
      <c r="B10" s="11" t="s">
        <v>40</v>
      </c>
    </row>
    <row r="11" spans="1:2" x14ac:dyDescent="0.5">
      <c r="A11" s="3">
        <v>2</v>
      </c>
      <c r="B11" s="5" t="s">
        <v>49</v>
      </c>
    </row>
    <row r="12" spans="1:2" x14ac:dyDescent="0.5">
      <c r="B12" s="11" t="s">
        <v>41</v>
      </c>
    </row>
    <row r="13" spans="1:2" x14ac:dyDescent="0.5">
      <c r="B13" s="11" t="s">
        <v>42</v>
      </c>
    </row>
    <row r="14" spans="1:2" ht="31.5" x14ac:dyDescent="0.5">
      <c r="B14" s="28" t="s">
        <v>87</v>
      </c>
    </row>
    <row r="15" spans="1:2" x14ac:dyDescent="0.5">
      <c r="B15" s="11" t="s">
        <v>88</v>
      </c>
    </row>
    <row r="16" spans="1:2" x14ac:dyDescent="0.5">
      <c r="B16" s="11" t="s">
        <v>57</v>
      </c>
    </row>
    <row r="17" spans="1:2" x14ac:dyDescent="0.5">
      <c r="A17" s="3">
        <v>3</v>
      </c>
      <c r="B17" s="9" t="s">
        <v>50</v>
      </c>
    </row>
    <row r="18" spans="1:2" x14ac:dyDescent="0.5">
      <c r="B18" s="11" t="s">
        <v>43</v>
      </c>
    </row>
    <row r="19" spans="1:2" ht="31.5" x14ac:dyDescent="0.5">
      <c r="B19" s="28" t="s">
        <v>55</v>
      </c>
    </row>
    <row r="20" spans="1:2" x14ac:dyDescent="0.5">
      <c r="B20" t="s">
        <v>52</v>
      </c>
    </row>
    <row r="21" spans="1:2" x14ac:dyDescent="0.5">
      <c r="B21" t="s">
        <v>54</v>
      </c>
    </row>
    <row r="22" spans="1:2" x14ac:dyDescent="0.5">
      <c r="B22" t="s">
        <v>53</v>
      </c>
    </row>
    <row r="23" spans="1:2" x14ac:dyDescent="0.5">
      <c r="B23" t="s">
        <v>56</v>
      </c>
    </row>
    <row r="24" spans="1:2" x14ac:dyDescent="0.5">
      <c r="A24" s="3">
        <v>4</v>
      </c>
      <c r="B24" s="9" t="s">
        <v>51</v>
      </c>
    </row>
    <row r="25" spans="1:2" x14ac:dyDescent="0.5">
      <c r="B25" s="11" t="s">
        <v>44</v>
      </c>
    </row>
    <row r="26" spans="1:2" x14ac:dyDescent="0.5">
      <c r="B26" s="11" t="s">
        <v>45</v>
      </c>
    </row>
    <row r="27" spans="1:2" x14ac:dyDescent="0.5">
      <c r="B27" s="11" t="s">
        <v>46</v>
      </c>
    </row>
    <row r="28" spans="1:2" x14ac:dyDescent="0.5">
      <c r="B28" s="10"/>
    </row>
    <row r="29" spans="1:2" x14ac:dyDescent="0.5">
      <c r="A29" s="30" t="s">
        <v>79</v>
      </c>
      <c r="B29" s="30" t="s">
        <v>63</v>
      </c>
    </row>
    <row r="30" spans="1:2" x14ac:dyDescent="0.5">
      <c r="B30" t="s">
        <v>60</v>
      </c>
    </row>
    <row r="31" spans="1:2" x14ac:dyDescent="0.5">
      <c r="B31" t="s">
        <v>61</v>
      </c>
    </row>
    <row r="32" spans="1:2" ht="31.5" x14ac:dyDescent="0.5">
      <c r="B32" s="8" t="s">
        <v>81</v>
      </c>
    </row>
    <row r="33" spans="1:2" x14ac:dyDescent="0.5">
      <c r="B33" t="s">
        <v>62</v>
      </c>
    </row>
    <row r="34" spans="1:2" ht="31.5" x14ac:dyDescent="0.5">
      <c r="B34" s="8" t="s">
        <v>89</v>
      </c>
    </row>
    <row r="36" spans="1:2" x14ac:dyDescent="0.5">
      <c r="A36" s="30" t="s">
        <v>79</v>
      </c>
      <c r="B36" s="30" t="s">
        <v>66</v>
      </c>
    </row>
    <row r="37" spans="1:2" x14ac:dyDescent="0.5">
      <c r="B37" t="s">
        <v>82</v>
      </c>
    </row>
    <row r="38" spans="1:2" ht="31.5" x14ac:dyDescent="0.5">
      <c r="B38" s="8" t="s">
        <v>64</v>
      </c>
    </row>
    <row r="39" spans="1:2" x14ac:dyDescent="0.5">
      <c r="B39" t="s">
        <v>65</v>
      </c>
    </row>
    <row r="41" spans="1:2" x14ac:dyDescent="0.5">
      <c r="A41" s="30" t="s">
        <v>79</v>
      </c>
      <c r="B41" s="30" t="s">
        <v>83</v>
      </c>
    </row>
    <row r="42" spans="1:2" x14ac:dyDescent="0.5">
      <c r="B42" t="s">
        <v>67</v>
      </c>
    </row>
    <row r="43" spans="1:2" x14ac:dyDescent="0.5">
      <c r="B43" t="s">
        <v>68</v>
      </c>
    </row>
    <row r="44" spans="1:2" x14ac:dyDescent="0.5">
      <c r="B44" t="s">
        <v>69</v>
      </c>
    </row>
    <row r="45" spans="1:2" ht="31.5" x14ac:dyDescent="0.5">
      <c r="B45" s="8" t="s">
        <v>90</v>
      </c>
    </row>
    <row r="46" spans="1:2" x14ac:dyDescent="0.5">
      <c r="B46" t="s">
        <v>70</v>
      </c>
    </row>
    <row r="47" spans="1:2" x14ac:dyDescent="0.5">
      <c r="B47" t="s">
        <v>71</v>
      </c>
    </row>
    <row r="49" spans="1:2" x14ac:dyDescent="0.5">
      <c r="A49" s="30" t="s">
        <v>79</v>
      </c>
      <c r="B49" s="30" t="s">
        <v>84</v>
      </c>
    </row>
    <row r="50" spans="1:2" x14ac:dyDescent="0.5">
      <c r="B50" t="s">
        <v>72</v>
      </c>
    </row>
    <row r="51" spans="1:2" x14ac:dyDescent="0.5">
      <c r="B51" t="s">
        <v>73</v>
      </c>
    </row>
    <row r="52" spans="1:2" x14ac:dyDescent="0.5">
      <c r="B52" t="s">
        <v>74</v>
      </c>
    </row>
    <row r="53" spans="1:2" x14ac:dyDescent="0.5">
      <c r="B53" t="s">
        <v>86</v>
      </c>
    </row>
    <row r="54" spans="1:2" x14ac:dyDescent="0.5">
      <c r="B54" t="s">
        <v>75</v>
      </c>
    </row>
    <row r="56" spans="1:2" x14ac:dyDescent="0.5">
      <c r="A56" s="30" t="s">
        <v>79</v>
      </c>
      <c r="B56" s="30" t="s">
        <v>85</v>
      </c>
    </row>
    <row r="57" spans="1:2" x14ac:dyDescent="0.5">
      <c r="B57" t="s">
        <v>76</v>
      </c>
    </row>
    <row r="58" spans="1:2" ht="31.5" x14ac:dyDescent="0.5">
      <c r="B58" s="8" t="s">
        <v>77</v>
      </c>
    </row>
    <row r="59" spans="1:2" x14ac:dyDescent="0.5">
      <c r="B59" t="s">
        <v>78</v>
      </c>
    </row>
    <row r="60" spans="1:2" x14ac:dyDescent="0.5">
      <c r="B60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9EF1E5DC21F54A8F04D99362B56D03" ma:contentTypeVersion="15" ma:contentTypeDescription="Create a new document." ma:contentTypeScope="" ma:versionID="e215f6b269d66c3ebe8ebed8d9ea7d04">
  <xsd:schema xmlns:xsd="http://www.w3.org/2001/XMLSchema" xmlns:xs="http://www.w3.org/2001/XMLSchema" xmlns:p="http://schemas.microsoft.com/office/2006/metadata/properties" xmlns:ns2="7d324761-fe53-494d-8205-2c443b4e1901" xmlns:ns3="85776e18-afee-41fb-9c4c-60a23c8fa3aa" targetNamespace="http://schemas.microsoft.com/office/2006/metadata/properties" ma:root="true" ma:fieldsID="7a7ded9bed3991f73add831d211da4f0" ns2:_="" ns3:_="">
    <xsd:import namespace="7d324761-fe53-494d-8205-2c443b4e1901"/>
    <xsd:import namespace="85776e18-afee-41fb-9c4c-60a23c8fa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Description0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24761-fe53-494d-8205-2c443b4e1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Description0" ma:index="15" nillable="true" ma:displayName="Description" ma:format="Dropdown" ma:internalName="Description0">
      <xsd:simpleType>
        <xsd:restriction base="dms:Text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76e18-afee-41fb-9c4c-60a23c8fa3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d324761-fe53-494d-8205-2c443b4e1901" xsi:nil="true"/>
    <Description0 xmlns="7d324761-fe53-494d-8205-2c443b4e190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B10590-1F5F-48C0-8043-C8248A5CC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324761-fe53-494d-8205-2c443b4e1901"/>
    <ds:schemaRef ds:uri="85776e18-afee-41fb-9c4c-60a23c8fa3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9181D8-14EB-4091-904C-209CD251FE2B}">
  <ds:schemaRefs>
    <ds:schemaRef ds:uri="http://schemas.openxmlformats.org/package/2006/metadata/core-properties"/>
    <ds:schemaRef ds:uri="http://schemas.microsoft.com/office/infopath/2007/PartnerControls"/>
    <ds:schemaRef ds:uri="85776e18-afee-41fb-9c4c-60a23c8fa3aa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7d324761-fe53-494d-8205-2c443b4e1901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26B423-D798-4AC2-81E0-E2CBB92D60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Basketball Game Sales</vt:lpstr>
      <vt:lpstr>Calories</vt:lpstr>
      <vt:lpstr>Pivot</vt:lpstr>
      <vt:lpstr>Fee Schedule</vt:lpstr>
      <vt:lpstr>Revenue By Item</vt:lpstr>
      <vt:lpstr>Calories-Solver</vt:lpstr>
      <vt:lpstr>Data Cleaning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Foreman</dc:creator>
  <cp:keywords/>
  <dc:description/>
  <cp:lastModifiedBy>Yashraj Sisodiya</cp:lastModifiedBy>
  <cp:revision/>
  <dcterms:created xsi:type="dcterms:W3CDTF">2013-01-21T18:22:23Z</dcterms:created>
  <dcterms:modified xsi:type="dcterms:W3CDTF">2025-09-11T22:10:18Z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0x010100109EF1E5DC21F54A8F04D99362B56D03</vt:lpwstr>
  </property>
</Properties>
</file>